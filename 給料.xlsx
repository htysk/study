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20" windowWidth="19815" windowHeight="7065"/>
  </bookViews>
  <sheets>
    <sheet name="給料" sheetId="1" r:id="rId1"/>
    <sheet name="割合" sheetId="2" r:id="rId2"/>
    <sheet name="基本給" sheetId="4" r:id="rId3"/>
    <sheet name="在宅勤務費用補填" sheetId="5" r:id="rId4"/>
    <sheet name="出張" sheetId="7" r:id="rId5"/>
  </sheets>
  <calcPr calcId="125725"/>
</workbook>
</file>

<file path=xl/calcChain.xml><?xml version="1.0" encoding="utf-8"?>
<calcChain xmlns="http://schemas.openxmlformats.org/spreadsheetml/2006/main">
  <c r="H142" i="1"/>
  <c r="H141"/>
  <c r="H140"/>
  <c r="H139"/>
  <c r="H138"/>
  <c r="H137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H136"/>
  <c r="E64" i="5"/>
  <c r="AG136" i="1"/>
  <c r="W142"/>
  <c r="W141"/>
  <c r="W140"/>
  <c r="W139"/>
  <c r="W138"/>
  <c r="W137"/>
  <c r="W136"/>
  <c r="M136"/>
  <c r="B13" i="2"/>
  <c r="F122" i="1"/>
  <c r="F86"/>
  <c r="F62"/>
  <c r="F55"/>
  <c r="F54"/>
  <c r="F53"/>
  <c r="F52"/>
  <c r="F51"/>
  <c r="F50"/>
  <c r="F38"/>
  <c r="F26"/>
  <c r="F14"/>
  <c r="F2"/>
  <c r="G11" i="7"/>
  <c r="E11" s="1"/>
  <c r="J10"/>
  <c r="G10"/>
  <c r="J9"/>
  <c r="G9"/>
  <c r="J8"/>
  <c r="G8"/>
  <c r="G7"/>
  <c r="E7" s="1"/>
  <c r="J6"/>
  <c r="G6"/>
  <c r="F41"/>
  <c r="E40"/>
  <c r="F39"/>
  <c r="F38"/>
  <c r="F37"/>
  <c r="E36"/>
  <c r="F35"/>
  <c r="E35"/>
  <c r="F34"/>
  <c r="E33"/>
  <c r="E32"/>
  <c r="F31"/>
  <c r="E31"/>
  <c r="F30"/>
  <c r="E29"/>
  <c r="E28"/>
  <c r="F27"/>
  <c r="F26"/>
  <c r="E25"/>
  <c r="E24"/>
  <c r="E23"/>
  <c r="E22"/>
  <c r="E21"/>
  <c r="F20"/>
  <c r="E20"/>
  <c r="F19"/>
  <c r="E18"/>
  <c r="F17"/>
  <c r="E16"/>
  <c r="E15"/>
  <c r="F14"/>
  <c r="E14"/>
  <c r="E13"/>
  <c r="E12"/>
  <c r="H5"/>
  <c r="E5" s="1"/>
  <c r="F4"/>
  <c r="E4"/>
  <c r="F2"/>
  <c r="E2"/>
  <c r="F3"/>
  <c r="E3"/>
  <c r="G3"/>
  <c r="G2"/>
  <c r="J2"/>
  <c r="AH124" i="1"/>
  <c r="AI124"/>
  <c r="AG124"/>
  <c r="G2" i="5"/>
  <c r="E57"/>
  <c r="E56"/>
  <c r="E55"/>
  <c r="E54"/>
  <c r="E53"/>
  <c r="E52"/>
  <c r="E51"/>
  <c r="L126" i="1"/>
  <c r="O125"/>
  <c r="L125"/>
  <c r="F125" s="1"/>
  <c r="G122"/>
  <c r="G62"/>
  <c r="G50"/>
  <c r="G38"/>
  <c r="G26"/>
  <c r="S26" s="1"/>
  <c r="G14"/>
  <c r="S14" s="1"/>
  <c r="G2"/>
  <c r="S2" s="1"/>
  <c r="N129"/>
  <c r="D15" i="4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C15"/>
  <c r="B15" s="1"/>
  <c r="C13"/>
  <c r="D13"/>
  <c r="Y135" i="1"/>
  <c r="AF142"/>
  <c r="AF130"/>
  <c r="B12" i="2"/>
  <c r="L123" i="1"/>
  <c r="L124" s="1"/>
  <c r="AE111"/>
  <c r="D12" i="4"/>
  <c r="C12"/>
  <c r="D11"/>
  <c r="C11"/>
  <c r="D70" i="5"/>
  <c r="B70"/>
  <c r="D69"/>
  <c r="D68"/>
  <c r="D67"/>
  <c r="D66"/>
  <c r="D65"/>
  <c r="B64"/>
  <c r="A64"/>
  <c r="D63"/>
  <c r="D62"/>
  <c r="D61"/>
  <c r="D60"/>
  <c r="E61" s="1"/>
  <c r="D59"/>
  <c r="E60" s="1"/>
  <c r="D58"/>
  <c r="B58"/>
  <c r="A58"/>
  <c r="A70" s="1"/>
  <c r="D57"/>
  <c r="B57"/>
  <c r="B69" s="1"/>
  <c r="A57"/>
  <c r="A69" s="1"/>
  <c r="D56"/>
  <c r="B56"/>
  <c r="B68" s="1"/>
  <c r="A56"/>
  <c r="A68" s="1"/>
  <c r="D55"/>
  <c r="B55"/>
  <c r="B67" s="1"/>
  <c r="A55"/>
  <c r="A67" s="1"/>
  <c r="D54"/>
  <c r="B54"/>
  <c r="B66" s="1"/>
  <c r="A54"/>
  <c r="A66" s="1"/>
  <c r="D53"/>
  <c r="B53"/>
  <c r="B65" s="1"/>
  <c r="A53"/>
  <c r="A65" s="1"/>
  <c r="D52"/>
  <c r="B52"/>
  <c r="A52"/>
  <c r="D51"/>
  <c r="B51"/>
  <c r="B63" s="1"/>
  <c r="A51"/>
  <c r="A63" s="1"/>
  <c r="D50"/>
  <c r="B50"/>
  <c r="B62" s="1"/>
  <c r="A50"/>
  <c r="A62" s="1"/>
  <c r="D49"/>
  <c r="B49"/>
  <c r="B61" s="1"/>
  <c r="A49"/>
  <c r="A61" s="1"/>
  <c r="D48"/>
  <c r="B48"/>
  <c r="B60" s="1"/>
  <c r="A48"/>
  <c r="A60" s="1"/>
  <c r="D47"/>
  <c r="B47"/>
  <c r="B59" s="1"/>
  <c r="A47"/>
  <c r="A59" s="1"/>
  <c r="B11" i="2"/>
  <c r="Y138" i="1"/>
  <c r="Y139" s="1"/>
  <c r="Y140" s="1"/>
  <c r="Y141" s="1"/>
  <c r="Y142" s="1"/>
  <c r="Y126"/>
  <c r="Y127" s="1"/>
  <c r="Y128" s="1"/>
  <c r="Y129" s="1"/>
  <c r="Y130" s="1"/>
  <c r="Y131" s="1"/>
  <c r="Y132" s="1"/>
  <c r="Y133" s="1"/>
  <c r="Y134" s="1"/>
  <c r="A124"/>
  <c r="A136" s="1"/>
  <c r="B123"/>
  <c r="B135" s="1"/>
  <c r="A123"/>
  <c r="A135" s="1"/>
  <c r="B122"/>
  <c r="B134" s="1"/>
  <c r="A122"/>
  <c r="A134" s="1"/>
  <c r="L121"/>
  <c r="L120"/>
  <c r="B120"/>
  <c r="B132" s="1"/>
  <c r="A120"/>
  <c r="A132" s="1"/>
  <c r="L119"/>
  <c r="AD111"/>
  <c r="M109"/>
  <c r="D37" i="5" s="1"/>
  <c r="D35"/>
  <c r="E36" s="1"/>
  <c r="D36"/>
  <c r="D38"/>
  <c r="D39"/>
  <c r="D40"/>
  <c r="D41"/>
  <c r="D42"/>
  <c r="D43"/>
  <c r="D44"/>
  <c r="D45"/>
  <c r="D46"/>
  <c r="E30"/>
  <c r="E29"/>
  <c r="E3"/>
  <c r="G3" s="1"/>
  <c r="E34"/>
  <c r="F34" s="1"/>
  <c r="E33"/>
  <c r="F33" s="1"/>
  <c r="D34"/>
  <c r="E35" s="1"/>
  <c r="D33"/>
  <c r="D32"/>
  <c r="D31"/>
  <c r="E32" s="1"/>
  <c r="D30"/>
  <c r="D29"/>
  <c r="D28"/>
  <c r="D22"/>
  <c r="D20"/>
  <c r="D18"/>
  <c r="D12"/>
  <c r="D5"/>
  <c r="D4"/>
  <c r="D3"/>
  <c r="F3" s="1"/>
  <c r="D2"/>
  <c r="B46"/>
  <c r="A46"/>
  <c r="B45"/>
  <c r="A45"/>
  <c r="B44"/>
  <c r="A44"/>
  <c r="B43"/>
  <c r="A43"/>
  <c r="B42"/>
  <c r="A42"/>
  <c r="B41"/>
  <c r="A41"/>
  <c r="B40"/>
  <c r="A40"/>
  <c r="B39"/>
  <c r="A39"/>
  <c r="B38"/>
  <c r="A38"/>
  <c r="B37"/>
  <c r="A37"/>
  <c r="B36"/>
  <c r="A36"/>
  <c r="B35"/>
  <c r="A35"/>
  <c r="B34"/>
  <c r="A34"/>
  <c r="B26"/>
  <c r="A26"/>
  <c r="B25"/>
  <c r="A25"/>
  <c r="B24"/>
  <c r="A24"/>
  <c r="B23"/>
  <c r="A23"/>
  <c r="B22"/>
  <c r="A22"/>
  <c r="B21"/>
  <c r="B33" s="1"/>
  <c r="A21"/>
  <c r="A33" s="1"/>
  <c r="B20"/>
  <c r="B32" s="1"/>
  <c r="A20"/>
  <c r="A32" s="1"/>
  <c r="B19"/>
  <c r="B31" s="1"/>
  <c r="A19"/>
  <c r="A31" s="1"/>
  <c r="B18"/>
  <c r="B30" s="1"/>
  <c r="A18"/>
  <c r="A30" s="1"/>
  <c r="B17"/>
  <c r="B29" s="1"/>
  <c r="A17"/>
  <c r="A29" s="1"/>
  <c r="B16"/>
  <c r="B28" s="1"/>
  <c r="A16"/>
  <c r="A28" s="1"/>
  <c r="B15"/>
  <c r="B27" s="1"/>
  <c r="A15"/>
  <c r="A27" s="1"/>
  <c r="B14"/>
  <c r="A14"/>
  <c r="M78" i="1"/>
  <c r="D6" i="5" s="1"/>
  <c r="E7" s="1"/>
  <c r="AD3" i="1"/>
  <c r="AD4" s="1"/>
  <c r="AD7"/>
  <c r="AD8" s="1"/>
  <c r="AD9" s="1"/>
  <c r="AD10" s="1"/>
  <c r="AD11" s="1"/>
  <c r="AD12" s="1"/>
  <c r="AD13" s="1"/>
  <c r="AD14" s="1"/>
  <c r="AD15" s="1"/>
  <c r="AD16" s="1"/>
  <c r="AD17" s="1"/>
  <c r="AD18" s="1"/>
  <c r="AD19" s="1"/>
  <c r="AD20" s="1"/>
  <c r="AD21" s="1"/>
  <c r="AD22" s="1"/>
  <c r="AD23" s="1"/>
  <c r="AD24" s="1"/>
  <c r="AD25" s="1"/>
  <c r="AD26" s="1"/>
  <c r="AD27" s="1"/>
  <c r="AD28" s="1"/>
  <c r="AD29" s="1"/>
  <c r="AD30" s="1"/>
  <c r="AD31" s="1"/>
  <c r="AD32" s="1"/>
  <c r="AD33" s="1"/>
  <c r="AD35" s="1"/>
  <c r="AD36" s="1"/>
  <c r="AD37" s="1"/>
  <c r="AD38" s="1"/>
  <c r="AD39" s="1"/>
  <c r="AD40" s="1"/>
  <c r="AD41" s="1"/>
  <c r="AD42" s="1"/>
  <c r="AD43" s="1"/>
  <c r="AD44" s="1"/>
  <c r="AD45" s="1"/>
  <c r="AD46" s="1"/>
  <c r="AD47" s="1"/>
  <c r="AD48" s="1"/>
  <c r="AD49" s="1"/>
  <c r="AD50" s="1"/>
  <c r="AD51" s="1"/>
  <c r="AD52" s="1"/>
  <c r="AD53" s="1"/>
  <c r="AD54" s="1"/>
  <c r="AD55" s="1"/>
  <c r="AD56" s="1"/>
  <c r="AD57" s="1"/>
  <c r="AD58" s="1"/>
  <c r="AD59" s="1"/>
  <c r="AD60" s="1"/>
  <c r="AD61" s="1"/>
  <c r="AD62" s="1"/>
  <c r="AD64" s="1"/>
  <c r="AD65" s="1"/>
  <c r="AD66" s="1"/>
  <c r="AD67" s="1"/>
  <c r="AD68" s="1"/>
  <c r="AD69" s="1"/>
  <c r="AD70" s="1"/>
  <c r="AD71" s="1"/>
  <c r="AD72" s="1"/>
  <c r="AD73" s="1"/>
  <c r="AD74" s="1"/>
  <c r="AD75" s="1"/>
  <c r="AD76" s="1"/>
  <c r="AD77" s="1"/>
  <c r="AD78" s="1"/>
  <c r="AD79" s="1"/>
  <c r="AD80" s="1"/>
  <c r="AD81" s="1"/>
  <c r="AD82" s="1"/>
  <c r="AD83" s="1"/>
  <c r="AD84" s="1"/>
  <c r="AD85" s="1"/>
  <c r="AD86" s="1"/>
  <c r="AD87" s="1"/>
  <c r="AD88" s="1"/>
  <c r="AD89" s="1"/>
  <c r="AD90" s="1"/>
  <c r="AD91" s="1"/>
  <c r="AD92" s="1"/>
  <c r="AD93" s="1"/>
  <c r="AD94" s="1"/>
  <c r="AD96" s="1"/>
  <c r="AD97" s="1"/>
  <c r="AD98" s="1"/>
  <c r="AD99" s="1"/>
  <c r="AD100" s="1"/>
  <c r="AD101" s="1"/>
  <c r="AD102" s="1"/>
  <c r="AD103" s="1"/>
  <c r="AD104" s="1"/>
  <c r="AD105" s="1"/>
  <c r="AD106" s="1"/>
  <c r="AD107" s="1"/>
  <c r="AD108" s="1"/>
  <c r="AD109" s="1"/>
  <c r="AD110" s="1"/>
  <c r="AB17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AB37" s="1"/>
  <c r="AB38" s="1"/>
  <c r="AB39" s="1"/>
  <c r="AB40" s="1"/>
  <c r="AB41" s="1"/>
  <c r="AB42" s="1"/>
  <c r="AB43" s="1"/>
  <c r="AB44" s="1"/>
  <c r="AB45" s="1"/>
  <c r="AB46" s="1"/>
  <c r="AB47" s="1"/>
  <c r="AB48" s="1"/>
  <c r="AB49" s="1"/>
  <c r="AB50" s="1"/>
  <c r="AB51" s="1"/>
  <c r="AB52" s="1"/>
  <c r="AB53" s="1"/>
  <c r="AB54" s="1"/>
  <c r="AB55" s="1"/>
  <c r="AB56" s="1"/>
  <c r="AB57" s="1"/>
  <c r="AB58" s="1"/>
  <c r="AB60" s="1"/>
  <c r="AB61" s="1"/>
  <c r="AB62" s="1"/>
  <c r="AB63" s="1"/>
  <c r="AB64" s="1"/>
  <c r="AB65" s="1"/>
  <c r="AB66" s="1"/>
  <c r="AB67" s="1"/>
  <c r="AB68" s="1"/>
  <c r="AB69" s="1"/>
  <c r="AB70" s="1"/>
  <c r="AB72" s="1"/>
  <c r="AB73" s="1"/>
  <c r="AB74" s="1"/>
  <c r="AB75" s="1"/>
  <c r="AB76" s="1"/>
  <c r="AB77" s="1"/>
  <c r="AB78" s="1"/>
  <c r="AB79" s="1"/>
  <c r="AB80" s="1"/>
  <c r="AB81" s="1"/>
  <c r="AB82" s="1"/>
  <c r="AB83" s="1"/>
  <c r="AB84" s="1"/>
  <c r="AB85" s="1"/>
  <c r="AB86" s="1"/>
  <c r="AB87" s="1"/>
  <c r="AB88" s="1"/>
  <c r="AB89" s="1"/>
  <c r="AB90" s="1"/>
  <c r="AB91" s="1"/>
  <c r="AB92" s="1"/>
  <c r="AB93" s="1"/>
  <c r="AB94" s="1"/>
  <c r="AB95" s="1"/>
  <c r="AB96" s="1"/>
  <c r="AB97" s="1"/>
  <c r="AB98" s="1"/>
  <c r="AB99" s="1"/>
  <c r="AB100" s="1"/>
  <c r="AB101" s="1"/>
  <c r="AB102" s="1"/>
  <c r="AB103" s="1"/>
  <c r="AB104" s="1"/>
  <c r="AB105" s="1"/>
  <c r="AB106" s="1"/>
  <c r="AB107" s="1"/>
  <c r="AB108" s="1"/>
  <c r="AB109" s="1"/>
  <c r="AB110" s="1"/>
  <c r="AB111" s="1"/>
  <c r="AB112" s="1"/>
  <c r="AB113" s="1"/>
  <c r="AB114" s="1"/>
  <c r="AB115" s="1"/>
  <c r="AB116" s="1"/>
  <c r="AB117" s="1"/>
  <c r="AB118" s="1"/>
  <c r="AB119" s="1"/>
  <c r="AB120" s="1"/>
  <c r="AB121" s="1"/>
  <c r="AB122" s="1"/>
  <c r="AB123" s="1"/>
  <c r="AB124" s="1"/>
  <c r="AB125" s="1"/>
  <c r="AB126" s="1"/>
  <c r="AB127" s="1"/>
  <c r="AB128" s="1"/>
  <c r="AB129" s="1"/>
  <c r="AB130" s="1"/>
  <c r="AB132" s="1"/>
  <c r="AB133" s="1"/>
  <c r="AB134" s="1"/>
  <c r="AB135" s="1"/>
  <c r="AB136" s="1"/>
  <c r="AB137" s="1"/>
  <c r="AB138" s="1"/>
  <c r="AB139" s="1"/>
  <c r="AB140" s="1"/>
  <c r="AB141" s="1"/>
  <c r="AB142" s="1"/>
  <c r="AB16"/>
  <c r="AB15"/>
  <c r="AB14"/>
  <c r="AB13"/>
  <c r="AB12"/>
  <c r="AB10"/>
  <c r="AB9"/>
  <c r="AB8"/>
  <c r="AB7"/>
  <c r="AB6"/>
  <c r="AB3"/>
  <c r="AB5"/>
  <c r="AA21"/>
  <c r="AA22" s="1"/>
  <c r="AA23" s="1"/>
  <c r="AA24" s="1"/>
  <c r="AA25" s="1"/>
  <c r="AA26" s="1"/>
  <c r="AA28" s="1"/>
  <c r="AA29" s="1"/>
  <c r="AA30" s="1"/>
  <c r="AA31" s="1"/>
  <c r="AA32" s="1"/>
  <c r="AA33" s="1"/>
  <c r="AA34" s="1"/>
  <c r="AA35" s="1"/>
  <c r="AA36" s="1"/>
  <c r="AA37" s="1"/>
  <c r="AA38" s="1"/>
  <c r="AA39" s="1"/>
  <c r="AA40" s="1"/>
  <c r="AA41" s="1"/>
  <c r="AA42" s="1"/>
  <c r="AA43" s="1"/>
  <c r="AA44" s="1"/>
  <c r="AA45" s="1"/>
  <c r="AA46" s="1"/>
  <c r="AA47" s="1"/>
  <c r="AA48" s="1"/>
  <c r="AA49" s="1"/>
  <c r="AA50" s="1"/>
  <c r="AA51" s="1"/>
  <c r="AA52" s="1"/>
  <c r="AA53" s="1"/>
  <c r="AA54" s="1"/>
  <c r="AA55" s="1"/>
  <c r="AA56" s="1"/>
  <c r="AA57" s="1"/>
  <c r="AA58" s="1"/>
  <c r="AA59" s="1"/>
  <c r="AA60" s="1"/>
  <c r="AA61" s="1"/>
  <c r="AA62" s="1"/>
  <c r="AA63" s="1"/>
  <c r="AA64" s="1"/>
  <c r="AA65" s="1"/>
  <c r="AA66" s="1"/>
  <c r="AA67" s="1"/>
  <c r="AA68" s="1"/>
  <c r="AA69" s="1"/>
  <c r="AA70" s="1"/>
  <c r="AA71" s="1"/>
  <c r="AA72" s="1"/>
  <c r="AA73" s="1"/>
  <c r="AA74" s="1"/>
  <c r="AA76" s="1"/>
  <c r="AA77" s="1"/>
  <c r="AA78" s="1"/>
  <c r="AA79" s="1"/>
  <c r="AA80" s="1"/>
  <c r="AA82" s="1"/>
  <c r="AA83" s="1"/>
  <c r="AA84" s="1"/>
  <c r="AA85" s="1"/>
  <c r="AA86" s="1"/>
  <c r="AA87" s="1"/>
  <c r="AA88" s="1"/>
  <c r="AA89" s="1"/>
  <c r="AA90" s="1"/>
  <c r="AA91" s="1"/>
  <c r="AA92" s="1"/>
  <c r="AA93" s="1"/>
  <c r="AA94" s="1"/>
  <c r="AA95" s="1"/>
  <c r="AA96" s="1"/>
  <c r="AA97" s="1"/>
  <c r="AA98" s="1"/>
  <c r="AA99" s="1"/>
  <c r="AA100" s="1"/>
  <c r="AA101" s="1"/>
  <c r="AA102" s="1"/>
  <c r="AA103" s="1"/>
  <c r="AA104" s="1"/>
  <c r="AA105" s="1"/>
  <c r="AA106" s="1"/>
  <c r="AA107" s="1"/>
  <c r="AA108" s="1"/>
  <c r="AA109" s="1"/>
  <c r="AA110" s="1"/>
  <c r="AA111" s="1"/>
  <c r="AA112" s="1"/>
  <c r="AA113" s="1"/>
  <c r="AA114" s="1"/>
  <c r="AA115" s="1"/>
  <c r="AA116" s="1"/>
  <c r="AA117" s="1"/>
  <c r="AA118" s="1"/>
  <c r="AA119" s="1"/>
  <c r="AA120" s="1"/>
  <c r="AA121" s="1"/>
  <c r="AA122" s="1"/>
  <c r="AA123" s="1"/>
  <c r="AA124" s="1"/>
  <c r="AA125" s="1"/>
  <c r="AA126" s="1"/>
  <c r="AA127" s="1"/>
  <c r="AA128" s="1"/>
  <c r="AA129" s="1"/>
  <c r="AA130" s="1"/>
  <c r="AA131" s="1"/>
  <c r="AA132" s="1"/>
  <c r="AA133" s="1"/>
  <c r="AA134" s="1"/>
  <c r="AA135" s="1"/>
  <c r="AA136" s="1"/>
  <c r="AA137" s="1"/>
  <c r="AA138" s="1"/>
  <c r="AA139" s="1"/>
  <c r="AA140" s="1"/>
  <c r="AA141" s="1"/>
  <c r="AA142" s="1"/>
  <c r="AA20"/>
  <c r="AA19"/>
  <c r="AA18"/>
  <c r="AA17"/>
  <c r="AA16"/>
  <c r="AA15"/>
  <c r="AA14"/>
  <c r="AA13"/>
  <c r="AA12"/>
  <c r="AA11"/>
  <c r="AA10"/>
  <c r="AA9"/>
  <c r="AA8"/>
  <c r="AA7"/>
  <c r="AA6"/>
  <c r="AA5"/>
  <c r="AA4"/>
  <c r="Z90"/>
  <c r="Z91" s="1"/>
  <c r="Z89"/>
  <c r="Z88"/>
  <c r="Z87"/>
  <c r="Z85"/>
  <c r="Z84"/>
  <c r="Z83"/>
  <c r="Z82"/>
  <c r="Z7"/>
  <c r="Z6"/>
  <c r="Z5"/>
  <c r="Z4"/>
  <c r="Z3"/>
  <c r="Z13"/>
  <c r="Z12"/>
  <c r="Z11"/>
  <c r="Z10"/>
  <c r="Z9"/>
  <c r="Z27"/>
  <c r="Z28" s="1"/>
  <c r="Z29" s="1"/>
  <c r="Z30" s="1"/>
  <c r="Z31" s="1"/>
  <c r="Z32" s="1"/>
  <c r="Z33" s="1"/>
  <c r="Z34" s="1"/>
  <c r="Z35" s="1"/>
  <c r="Z36" s="1"/>
  <c r="Z37" s="1"/>
  <c r="Z39" s="1"/>
  <c r="Z40" s="1"/>
  <c r="Z41" s="1"/>
  <c r="Z42" s="1"/>
  <c r="Z43" s="1"/>
  <c r="Z44" s="1"/>
  <c r="Z45" s="1"/>
  <c r="Z46" s="1"/>
  <c r="Z47" s="1"/>
  <c r="Z48" s="1"/>
  <c r="Z49" s="1"/>
  <c r="Z51" s="1"/>
  <c r="Z52" s="1"/>
  <c r="Z53" s="1"/>
  <c r="Z54" s="1"/>
  <c r="Z55" s="1"/>
  <c r="Z56" s="1"/>
  <c r="Z57" s="1"/>
  <c r="Z58" s="1"/>
  <c r="Z59" s="1"/>
  <c r="Z60" s="1"/>
  <c r="Z61" s="1"/>
  <c r="Z63" s="1"/>
  <c r="Z64" s="1"/>
  <c r="Z65" s="1"/>
  <c r="Z66" s="1"/>
  <c r="Z70" s="1"/>
  <c r="Z71" s="1"/>
  <c r="Z72" s="1"/>
  <c r="Z73" s="1"/>
  <c r="Z75" s="1"/>
  <c r="Z76" s="1"/>
  <c r="Z77" s="1"/>
  <c r="Z78" s="1"/>
  <c r="Z25"/>
  <c r="Z24"/>
  <c r="Z23"/>
  <c r="Z22"/>
  <c r="Z21"/>
  <c r="Z20"/>
  <c r="Z19"/>
  <c r="Z18"/>
  <c r="Z17"/>
  <c r="Z16"/>
  <c r="Z15"/>
  <c r="Z105"/>
  <c r="Z106" s="1"/>
  <c r="Z107" s="1"/>
  <c r="Z108" s="1"/>
  <c r="Z109" s="1"/>
  <c r="Z111" s="1"/>
  <c r="Z112" s="1"/>
  <c r="Z113" s="1"/>
  <c r="Z114" s="1"/>
  <c r="Z115" s="1"/>
  <c r="Z116" s="1"/>
  <c r="Z117" s="1"/>
  <c r="Z118" s="1"/>
  <c r="Z119" s="1"/>
  <c r="Z120" s="1"/>
  <c r="Z121" s="1"/>
  <c r="Z123" s="1"/>
  <c r="Z124" s="1"/>
  <c r="Z127" s="1"/>
  <c r="Z104"/>
  <c r="Z103"/>
  <c r="Z102"/>
  <c r="Z101"/>
  <c r="Z100"/>
  <c r="Z99"/>
  <c r="Z97"/>
  <c r="Z96"/>
  <c r="Z95"/>
  <c r="Z94"/>
  <c r="V39"/>
  <c r="V40" s="1"/>
  <c r="V41" s="1"/>
  <c r="V42" s="1"/>
  <c r="V43" s="1"/>
  <c r="V45" s="1"/>
  <c r="V46" s="1"/>
  <c r="V47" s="1"/>
  <c r="V48" s="1"/>
  <c r="V49" s="1"/>
  <c r="V51" s="1"/>
  <c r="V52" s="1"/>
  <c r="V53" s="1"/>
  <c r="V54" s="1"/>
  <c r="V55" s="1"/>
  <c r="V57" s="1"/>
  <c r="V58" s="1"/>
  <c r="V59" s="1"/>
  <c r="V60" s="1"/>
  <c r="V61" s="1"/>
  <c r="V62" s="1"/>
  <c r="V64" s="1"/>
  <c r="V65" s="1"/>
  <c r="V66" s="1"/>
  <c r="V67" s="1"/>
  <c r="V68" s="1"/>
  <c r="V69" s="1"/>
  <c r="V70" s="1"/>
  <c r="V71" s="1"/>
  <c r="V72" s="1"/>
  <c r="V73" s="1"/>
  <c r="V75" s="1"/>
  <c r="V76" s="1"/>
  <c r="V77" s="1"/>
  <c r="V79" s="1"/>
  <c r="V80" s="1"/>
  <c r="V81" s="1"/>
  <c r="V82" s="1"/>
  <c r="V83" s="1"/>
  <c r="V84" s="1"/>
  <c r="V85" s="1"/>
  <c r="V86" s="1"/>
  <c r="V88" s="1"/>
  <c r="V89" s="1"/>
  <c r="V90" s="1"/>
  <c r="V91" s="1"/>
  <c r="V93" s="1"/>
  <c r="V94" s="1"/>
  <c r="V95" s="1"/>
  <c r="V96" s="1"/>
  <c r="V97" s="1"/>
  <c r="V99" s="1"/>
  <c r="V100" s="1"/>
  <c r="V101" s="1"/>
  <c r="V102" s="1"/>
  <c r="V103" s="1"/>
  <c r="V104" s="1"/>
  <c r="V105" s="1"/>
  <c r="V106" s="1"/>
  <c r="V107" s="1"/>
  <c r="V108" s="1"/>
  <c r="V109" s="1"/>
  <c r="V111" s="1"/>
  <c r="V112" s="1"/>
  <c r="V113" s="1"/>
  <c r="V114" s="1"/>
  <c r="V115" s="1"/>
  <c r="V117" s="1"/>
  <c r="V118" s="1"/>
  <c r="V119" s="1"/>
  <c r="V120" s="1"/>
  <c r="V121" s="1"/>
  <c r="V123" s="1"/>
  <c r="V124" s="1"/>
  <c r="V125" s="1"/>
  <c r="V127" s="1"/>
  <c r="V128" s="1"/>
  <c r="V129" s="1"/>
  <c r="V130" s="1"/>
  <c r="V131" s="1"/>
  <c r="V132" s="1"/>
  <c r="V133" s="1"/>
  <c r="V135" s="1"/>
  <c r="V136" s="1"/>
  <c r="V137" s="1"/>
  <c r="V138" s="1"/>
  <c r="V139" s="1"/>
  <c r="V140" s="1"/>
  <c r="V141" s="1"/>
  <c r="V142" s="1"/>
  <c r="U39"/>
  <c r="U40" s="1"/>
  <c r="U41" s="1"/>
  <c r="U42" s="1"/>
  <c r="U43" s="1"/>
  <c r="U45" s="1"/>
  <c r="U46" s="1"/>
  <c r="U47" s="1"/>
  <c r="U48" s="1"/>
  <c r="U49" s="1"/>
  <c r="U51" s="1"/>
  <c r="U52" s="1"/>
  <c r="U53" s="1"/>
  <c r="U54" s="1"/>
  <c r="U55" s="1"/>
  <c r="U57" s="1"/>
  <c r="U58" s="1"/>
  <c r="U59" s="1"/>
  <c r="U60" s="1"/>
  <c r="U61" s="1"/>
  <c r="U62" s="1"/>
  <c r="U64" s="1"/>
  <c r="U65" s="1"/>
  <c r="U66" s="1"/>
  <c r="U67" s="1"/>
  <c r="U68" s="1"/>
  <c r="U69" s="1"/>
  <c r="U70" s="1"/>
  <c r="U71" s="1"/>
  <c r="U72" s="1"/>
  <c r="U73" s="1"/>
  <c r="U75" s="1"/>
  <c r="U76" s="1"/>
  <c r="U77" s="1"/>
  <c r="U79" s="1"/>
  <c r="U80" s="1"/>
  <c r="U81" s="1"/>
  <c r="U82" s="1"/>
  <c r="U83" s="1"/>
  <c r="U84" s="1"/>
  <c r="U85" s="1"/>
  <c r="U86" s="1"/>
  <c r="U88" s="1"/>
  <c r="U89" s="1"/>
  <c r="U90" s="1"/>
  <c r="U91" s="1"/>
  <c r="U93" s="1"/>
  <c r="U94" s="1"/>
  <c r="U95" s="1"/>
  <c r="U96" s="1"/>
  <c r="U97" s="1"/>
  <c r="U99" s="1"/>
  <c r="U100" s="1"/>
  <c r="U101" s="1"/>
  <c r="U102" s="1"/>
  <c r="U103" s="1"/>
  <c r="U104" s="1"/>
  <c r="U105" s="1"/>
  <c r="U106" s="1"/>
  <c r="U107" s="1"/>
  <c r="U108" s="1"/>
  <c r="U109" s="1"/>
  <c r="U111" s="1"/>
  <c r="U112" s="1"/>
  <c r="U113" s="1"/>
  <c r="U114" s="1"/>
  <c r="U115" s="1"/>
  <c r="U117" s="1"/>
  <c r="U118" s="1"/>
  <c r="U119" s="1"/>
  <c r="U120" s="1"/>
  <c r="U121" s="1"/>
  <c r="U123" s="1"/>
  <c r="U124" s="1"/>
  <c r="U125" s="1"/>
  <c r="U127" s="1"/>
  <c r="U128" s="1"/>
  <c r="U129" s="1"/>
  <c r="U130" s="1"/>
  <c r="U131" s="1"/>
  <c r="U132" s="1"/>
  <c r="U133" s="1"/>
  <c r="U135" s="1"/>
  <c r="U136" s="1"/>
  <c r="U137" s="1"/>
  <c r="U138" s="1"/>
  <c r="U139" s="1"/>
  <c r="U140" s="1"/>
  <c r="U141" s="1"/>
  <c r="U142" s="1"/>
  <c r="V37"/>
  <c r="U37"/>
  <c r="V36"/>
  <c r="U36"/>
  <c r="V35"/>
  <c r="U35"/>
  <c r="V34"/>
  <c r="U34"/>
  <c r="V33"/>
  <c r="U33"/>
  <c r="V32"/>
  <c r="U32"/>
  <c r="V31"/>
  <c r="U31"/>
  <c r="V29"/>
  <c r="V28"/>
  <c r="V27"/>
  <c r="U27"/>
  <c r="U28" s="1"/>
  <c r="U29" s="1"/>
  <c r="T45"/>
  <c r="T46" s="1"/>
  <c r="T47" s="1"/>
  <c r="T48" s="1"/>
  <c r="T49" s="1"/>
  <c r="T50" s="1"/>
  <c r="T51" s="1"/>
  <c r="T52" s="1"/>
  <c r="T53" s="1"/>
  <c r="T54" s="1"/>
  <c r="T55" s="1"/>
  <c r="T57" s="1"/>
  <c r="T58" s="1"/>
  <c r="T59" s="1"/>
  <c r="T60" s="1"/>
  <c r="T61" s="1"/>
  <c r="T62" s="1"/>
  <c r="T63" s="1"/>
  <c r="T64" s="1"/>
  <c r="T65" s="1"/>
  <c r="T66" s="1"/>
  <c r="T67" s="1"/>
  <c r="T68" s="1"/>
  <c r="T69" s="1"/>
  <c r="T70" s="1"/>
  <c r="T71" s="1"/>
  <c r="T72" s="1"/>
  <c r="T73" s="1"/>
  <c r="T74" s="1"/>
  <c r="T75" s="1"/>
  <c r="T76" s="1"/>
  <c r="T77" s="1"/>
  <c r="T79" s="1"/>
  <c r="T80" s="1"/>
  <c r="T81" s="1"/>
  <c r="T82" s="1"/>
  <c r="T83" s="1"/>
  <c r="T84" s="1"/>
  <c r="T85" s="1"/>
  <c r="T86" s="1"/>
  <c r="T87" s="1"/>
  <c r="T88" s="1"/>
  <c r="T89" s="1"/>
  <c r="T90" s="1"/>
  <c r="T91" s="1"/>
  <c r="T93" s="1"/>
  <c r="T94" s="1"/>
  <c r="T95" s="1"/>
  <c r="T96" s="1"/>
  <c r="T97" s="1"/>
  <c r="T98" s="1"/>
  <c r="T99" s="1"/>
  <c r="T100" s="1"/>
  <c r="T101" s="1"/>
  <c r="T102" s="1"/>
  <c r="T103" s="1"/>
  <c r="T104" s="1"/>
  <c r="T105" s="1"/>
  <c r="T106" s="1"/>
  <c r="T107" s="1"/>
  <c r="T108" s="1"/>
  <c r="T109" s="1"/>
  <c r="T110" s="1"/>
  <c r="T111" s="1"/>
  <c r="T112" s="1"/>
  <c r="T113" s="1"/>
  <c r="T114" s="1"/>
  <c r="T115" s="1"/>
  <c r="T117" s="1"/>
  <c r="T118" s="1"/>
  <c r="T119" s="1"/>
  <c r="T120" s="1"/>
  <c r="T121" s="1"/>
  <c r="T122" s="1"/>
  <c r="T123" s="1"/>
  <c r="T124" s="1"/>
  <c r="T125" s="1"/>
  <c r="T127" s="1"/>
  <c r="T128" s="1"/>
  <c r="T129" s="1"/>
  <c r="T130" s="1"/>
  <c r="T131" s="1"/>
  <c r="T132" s="1"/>
  <c r="T133" s="1"/>
  <c r="T134" s="1"/>
  <c r="T135" s="1"/>
  <c r="T136" s="1"/>
  <c r="T137" s="1"/>
  <c r="T138" s="1"/>
  <c r="T139" s="1"/>
  <c r="T140" s="1"/>
  <c r="T141" s="1"/>
  <c r="T142" s="1"/>
  <c r="M99"/>
  <c r="D27" i="5" s="1"/>
  <c r="E28" s="1"/>
  <c r="M98" i="1"/>
  <c r="G98" s="1"/>
  <c r="M97"/>
  <c r="D25" i="5" s="1"/>
  <c r="M96" i="1"/>
  <c r="D24" i="5" s="1"/>
  <c r="E25" s="1"/>
  <c r="M95" i="1"/>
  <c r="D23" i="5" s="1"/>
  <c r="M93" i="1"/>
  <c r="D21" i="5" s="1"/>
  <c r="E22" s="1"/>
  <c r="M91" i="1"/>
  <c r="D19" i="5" s="1"/>
  <c r="E20" s="1"/>
  <c r="M89" i="1"/>
  <c r="D17" i="5" s="1"/>
  <c r="M88" i="1"/>
  <c r="D16" i="5" s="1"/>
  <c r="E17" s="1"/>
  <c r="M87" i="1"/>
  <c r="M86"/>
  <c r="G86" s="1"/>
  <c r="M85"/>
  <c r="D13" i="5" s="1"/>
  <c r="M83" i="1"/>
  <c r="D11" i="5" s="1"/>
  <c r="E12" s="1"/>
  <c r="M82" i="1"/>
  <c r="M81"/>
  <c r="D9" i="5" s="1"/>
  <c r="M80" i="1"/>
  <c r="D8" i="5" s="1"/>
  <c r="M79" i="1"/>
  <c r="D7" i="5" s="1"/>
  <c r="L118" i="1"/>
  <c r="L117"/>
  <c r="L116"/>
  <c r="L115"/>
  <c r="L114"/>
  <c r="L113"/>
  <c r="L112"/>
  <c r="L111"/>
  <c r="L110"/>
  <c r="G110" s="1"/>
  <c r="S110" s="1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F74" s="1"/>
  <c r="D10" i="4"/>
  <c r="D9"/>
  <c r="D8"/>
  <c r="D7"/>
  <c r="C10"/>
  <c r="C9"/>
  <c r="C8"/>
  <c r="C7"/>
  <c r="C6"/>
  <c r="D6" s="1"/>
  <c r="C5"/>
  <c r="D5" s="1"/>
  <c r="C4"/>
  <c r="D4" s="1"/>
  <c r="C3"/>
  <c r="D3" s="1"/>
  <c r="I54" i="1"/>
  <c r="I55" s="1"/>
  <c r="I53"/>
  <c r="G53" s="1"/>
  <c r="I52"/>
  <c r="G52" s="1"/>
  <c r="I51"/>
  <c r="I39"/>
  <c r="I40" s="1"/>
  <c r="AF118"/>
  <c r="Y115"/>
  <c r="Y116" s="1"/>
  <c r="Y117" s="1"/>
  <c r="Y118" s="1"/>
  <c r="Y119" s="1"/>
  <c r="Y120" s="1"/>
  <c r="Y121" s="1"/>
  <c r="Y122" s="1"/>
  <c r="Y123" s="1"/>
  <c r="AF112"/>
  <c r="AF106"/>
  <c r="AK106" s="1"/>
  <c r="AJ106" s="1"/>
  <c r="E106" s="1"/>
  <c r="Y103"/>
  <c r="Y104" s="1"/>
  <c r="Y105" s="1"/>
  <c r="Y106" s="1"/>
  <c r="Y107" s="1"/>
  <c r="Y108" s="1"/>
  <c r="Y109" s="1"/>
  <c r="Y110" s="1"/>
  <c r="Y111" s="1"/>
  <c r="Y102"/>
  <c r="AF100"/>
  <c r="AF94"/>
  <c r="AK94" s="1"/>
  <c r="AJ94" s="1"/>
  <c r="Y90"/>
  <c r="Y91" s="1"/>
  <c r="Y92" s="1"/>
  <c r="Y93" s="1"/>
  <c r="Y94" s="1"/>
  <c r="Y95" s="1"/>
  <c r="Y96" s="1"/>
  <c r="Y97" s="1"/>
  <c r="Y98" s="1"/>
  <c r="Y99" s="1"/>
  <c r="AF88"/>
  <c r="AF82"/>
  <c r="Y82"/>
  <c r="Y83" s="1"/>
  <c r="Y84" s="1"/>
  <c r="Y85" s="1"/>
  <c r="Y86" s="1"/>
  <c r="Y87" s="1"/>
  <c r="Y80"/>
  <c r="Y81" s="1"/>
  <c r="Y79"/>
  <c r="Y78"/>
  <c r="AF76"/>
  <c r="AF70"/>
  <c r="Y66"/>
  <c r="Y67" s="1"/>
  <c r="Y68" s="1"/>
  <c r="Y69" s="1"/>
  <c r="Y70" s="1"/>
  <c r="Y71" s="1"/>
  <c r="Y72" s="1"/>
  <c r="Y73" s="1"/>
  <c r="Y74" s="1"/>
  <c r="Y75" s="1"/>
  <c r="AF64"/>
  <c r="AF58"/>
  <c r="Y54"/>
  <c r="Y55" s="1"/>
  <c r="Y56" s="1"/>
  <c r="Y57" s="1"/>
  <c r="Y58" s="1"/>
  <c r="Y59" s="1"/>
  <c r="Y60" s="1"/>
  <c r="Y61" s="1"/>
  <c r="Y62" s="1"/>
  <c r="Y63" s="1"/>
  <c r="AF52"/>
  <c r="AF46"/>
  <c r="Y42"/>
  <c r="Y43" s="1"/>
  <c r="Y44" s="1"/>
  <c r="Y45" s="1"/>
  <c r="Y46" s="1"/>
  <c r="Y47" s="1"/>
  <c r="Y48" s="1"/>
  <c r="Y49" s="1"/>
  <c r="Y50" s="1"/>
  <c r="Y51" s="1"/>
  <c r="AF40"/>
  <c r="AF34"/>
  <c r="T34"/>
  <c r="T35" s="1"/>
  <c r="T36" s="1"/>
  <c r="T37" s="1"/>
  <c r="T38" s="1"/>
  <c r="T39" s="1"/>
  <c r="T40" s="1"/>
  <c r="T41" s="1"/>
  <c r="T42" s="1"/>
  <c r="T43" s="1"/>
  <c r="T33"/>
  <c r="Y32"/>
  <c r="Y33" s="1"/>
  <c r="Y34" s="1"/>
  <c r="Y35" s="1"/>
  <c r="Y36" s="1"/>
  <c r="Y37" s="1"/>
  <c r="Y38" s="1"/>
  <c r="Y39" s="1"/>
  <c r="Y31"/>
  <c r="T31"/>
  <c r="Y30"/>
  <c r="AF28"/>
  <c r="AK28" s="1"/>
  <c r="AJ28" s="1"/>
  <c r="I27"/>
  <c r="I28" s="1"/>
  <c r="F28" s="1"/>
  <c r="Y6"/>
  <c r="Y7" s="1"/>
  <c r="Y8" s="1"/>
  <c r="Y9" s="1"/>
  <c r="Y10" s="1"/>
  <c r="Y11" s="1"/>
  <c r="Y12" s="1"/>
  <c r="Y13" s="1"/>
  <c r="Y14" s="1"/>
  <c r="Y15" s="1"/>
  <c r="Y5"/>
  <c r="Y4"/>
  <c r="Y3"/>
  <c r="Y22"/>
  <c r="Y23" s="1"/>
  <c r="Y24" s="1"/>
  <c r="Y25" s="1"/>
  <c r="Y26" s="1"/>
  <c r="Y27" s="1"/>
  <c r="Y21"/>
  <c r="Y20"/>
  <c r="Y19"/>
  <c r="Y18"/>
  <c r="T19"/>
  <c r="T21" s="1"/>
  <c r="T22" s="1"/>
  <c r="T23" s="1"/>
  <c r="T24" s="1"/>
  <c r="T25" s="1"/>
  <c r="T26" s="1"/>
  <c r="T27" s="1"/>
  <c r="T28" s="1"/>
  <c r="T29" s="1"/>
  <c r="T17"/>
  <c r="T16"/>
  <c r="T15"/>
  <c r="T14"/>
  <c r="T13"/>
  <c r="T12"/>
  <c r="T11"/>
  <c r="I6"/>
  <c r="I7" s="1"/>
  <c r="I5"/>
  <c r="I4"/>
  <c r="I3"/>
  <c r="G3" s="1"/>
  <c r="S3" s="1"/>
  <c r="AF22"/>
  <c r="AK22" s="1"/>
  <c r="AJ22" s="1"/>
  <c r="AF16"/>
  <c r="AK16" s="1"/>
  <c r="AJ16" s="1"/>
  <c r="V16"/>
  <c r="V17" s="1"/>
  <c r="V19" s="1"/>
  <c r="V20" s="1"/>
  <c r="V21" s="1"/>
  <c r="V22" s="1"/>
  <c r="V23" s="1"/>
  <c r="V24" s="1"/>
  <c r="V25" s="1"/>
  <c r="U16"/>
  <c r="U17" s="1"/>
  <c r="U19" s="1"/>
  <c r="U20" s="1"/>
  <c r="U21" s="1"/>
  <c r="U22" s="1"/>
  <c r="U23" s="1"/>
  <c r="U24" s="1"/>
  <c r="U25" s="1"/>
  <c r="AE5"/>
  <c r="AE4"/>
  <c r="AE3"/>
  <c r="AK10"/>
  <c r="AJ10" s="1"/>
  <c r="AF10"/>
  <c r="AF4"/>
  <c r="AK4" s="1"/>
  <c r="AE6"/>
  <c r="V10"/>
  <c r="V11" s="1"/>
  <c r="V12" s="1"/>
  <c r="V13" s="1"/>
  <c r="V14" s="1"/>
  <c r="U10"/>
  <c r="U11" s="1"/>
  <c r="U12" s="1"/>
  <c r="U13" s="1"/>
  <c r="U14" s="1"/>
  <c r="V9"/>
  <c r="U9"/>
  <c r="V8"/>
  <c r="U8"/>
  <c r="V7"/>
  <c r="U7"/>
  <c r="V6"/>
  <c r="U6"/>
  <c r="V5"/>
  <c r="U5"/>
  <c r="V4"/>
  <c r="U4"/>
  <c r="T10"/>
  <c r="T4"/>
  <c r="T5" s="1"/>
  <c r="T6" s="1"/>
  <c r="T7" s="1"/>
  <c r="T9"/>
  <c r="B40"/>
  <c r="B52" s="1"/>
  <c r="B64" s="1"/>
  <c r="B76" s="1"/>
  <c r="B88" s="1"/>
  <c r="B100" s="1"/>
  <c r="B112" s="1"/>
  <c r="B124" s="1"/>
  <c r="B136" s="1"/>
  <c r="A40"/>
  <c r="A52" s="1"/>
  <c r="A64" s="1"/>
  <c r="A76" s="1"/>
  <c r="A88" s="1"/>
  <c r="A100" s="1"/>
  <c r="A112" s="1"/>
  <c r="B39"/>
  <c r="B51" s="1"/>
  <c r="B63" s="1"/>
  <c r="B75" s="1"/>
  <c r="B87" s="1"/>
  <c r="B99" s="1"/>
  <c r="B111" s="1"/>
  <c r="A39"/>
  <c r="A51" s="1"/>
  <c r="A63" s="1"/>
  <c r="A75" s="1"/>
  <c r="A87" s="1"/>
  <c r="A99" s="1"/>
  <c r="A111" s="1"/>
  <c r="B38"/>
  <c r="B50" s="1"/>
  <c r="B62" s="1"/>
  <c r="B74" s="1"/>
  <c r="B86" s="1"/>
  <c r="B98" s="1"/>
  <c r="B110" s="1"/>
  <c r="A38"/>
  <c r="A50" s="1"/>
  <c r="A62" s="1"/>
  <c r="A74" s="1"/>
  <c r="A86" s="1"/>
  <c r="A98" s="1"/>
  <c r="A110" s="1"/>
  <c r="B37"/>
  <c r="B49" s="1"/>
  <c r="B61" s="1"/>
  <c r="B73" s="1"/>
  <c r="B85" s="1"/>
  <c r="B97" s="1"/>
  <c r="B109" s="1"/>
  <c r="B121" s="1"/>
  <c r="B133" s="1"/>
  <c r="A37"/>
  <c r="A49" s="1"/>
  <c r="A61" s="1"/>
  <c r="A73" s="1"/>
  <c r="A85" s="1"/>
  <c r="A97" s="1"/>
  <c r="A109" s="1"/>
  <c r="A121" s="1"/>
  <c r="A133" s="1"/>
  <c r="B34"/>
  <c r="B46" s="1"/>
  <c r="B58" s="1"/>
  <c r="B70" s="1"/>
  <c r="B82" s="1"/>
  <c r="B94" s="1"/>
  <c r="B106" s="1"/>
  <c r="B118" s="1"/>
  <c r="B130" s="1"/>
  <c r="B142" s="1"/>
  <c r="A34"/>
  <c r="A46" s="1"/>
  <c r="A58" s="1"/>
  <c r="A70" s="1"/>
  <c r="A82" s="1"/>
  <c r="A94" s="1"/>
  <c r="A106" s="1"/>
  <c r="A118" s="1"/>
  <c r="A130" s="1"/>
  <c r="A142" s="1"/>
  <c r="B33"/>
  <c r="B45" s="1"/>
  <c r="B57" s="1"/>
  <c r="B69" s="1"/>
  <c r="B81" s="1"/>
  <c r="B93" s="1"/>
  <c r="B105" s="1"/>
  <c r="B117" s="1"/>
  <c r="B129" s="1"/>
  <c r="B141" s="1"/>
  <c r="A33"/>
  <c r="A45" s="1"/>
  <c r="A57" s="1"/>
  <c r="A69" s="1"/>
  <c r="A81" s="1"/>
  <c r="A93" s="1"/>
  <c r="A105" s="1"/>
  <c r="A117" s="1"/>
  <c r="A129" s="1"/>
  <c r="A141" s="1"/>
  <c r="B32"/>
  <c r="B44" s="1"/>
  <c r="B56" s="1"/>
  <c r="B68" s="1"/>
  <c r="B80" s="1"/>
  <c r="B92" s="1"/>
  <c r="B104" s="1"/>
  <c r="B116" s="1"/>
  <c r="B128" s="1"/>
  <c r="B140" s="1"/>
  <c r="A32"/>
  <c r="A44" s="1"/>
  <c r="A56" s="1"/>
  <c r="A68" s="1"/>
  <c r="A80" s="1"/>
  <c r="A92" s="1"/>
  <c r="A104" s="1"/>
  <c r="A116" s="1"/>
  <c r="A128" s="1"/>
  <c r="A140" s="1"/>
  <c r="B31"/>
  <c r="B43" s="1"/>
  <c r="B55" s="1"/>
  <c r="B67" s="1"/>
  <c r="B79" s="1"/>
  <c r="B91" s="1"/>
  <c r="B103" s="1"/>
  <c r="B115" s="1"/>
  <c r="B127" s="1"/>
  <c r="B139" s="1"/>
  <c r="A31"/>
  <c r="A43" s="1"/>
  <c r="A55" s="1"/>
  <c r="A67" s="1"/>
  <c r="A79" s="1"/>
  <c r="A91" s="1"/>
  <c r="A103" s="1"/>
  <c r="A115" s="1"/>
  <c r="A127" s="1"/>
  <c r="A139" s="1"/>
  <c r="B30"/>
  <c r="B42" s="1"/>
  <c r="B54" s="1"/>
  <c r="B66" s="1"/>
  <c r="B78" s="1"/>
  <c r="B90" s="1"/>
  <c r="B102" s="1"/>
  <c r="B114" s="1"/>
  <c r="B126" s="1"/>
  <c r="B138" s="1"/>
  <c r="A30"/>
  <c r="A42" s="1"/>
  <c r="A54" s="1"/>
  <c r="A66" s="1"/>
  <c r="A78" s="1"/>
  <c r="A90" s="1"/>
  <c r="A102" s="1"/>
  <c r="A114" s="1"/>
  <c r="A126" s="1"/>
  <c r="A138" s="1"/>
  <c r="B29"/>
  <c r="B41" s="1"/>
  <c r="B53" s="1"/>
  <c r="B65" s="1"/>
  <c r="B77" s="1"/>
  <c r="B89" s="1"/>
  <c r="B101" s="1"/>
  <c r="B113" s="1"/>
  <c r="B125" s="1"/>
  <c r="B137" s="1"/>
  <c r="A29"/>
  <c r="A41" s="1"/>
  <c r="A53" s="1"/>
  <c r="A65" s="1"/>
  <c r="A77" s="1"/>
  <c r="A89" s="1"/>
  <c r="A101" s="1"/>
  <c r="A113" s="1"/>
  <c r="A125" s="1"/>
  <c r="A137" s="1"/>
  <c r="B28"/>
  <c r="A28"/>
  <c r="B27"/>
  <c r="A27"/>
  <c r="B26"/>
  <c r="A26"/>
  <c r="B25"/>
  <c r="A25"/>
  <c r="B24"/>
  <c r="B36" s="1"/>
  <c r="B48" s="1"/>
  <c r="B60" s="1"/>
  <c r="B72" s="1"/>
  <c r="B84" s="1"/>
  <c r="B96" s="1"/>
  <c r="B108" s="1"/>
  <c r="A24"/>
  <c r="A36" s="1"/>
  <c r="A48" s="1"/>
  <c r="A60" s="1"/>
  <c r="A72" s="1"/>
  <c r="A84" s="1"/>
  <c r="A96" s="1"/>
  <c r="A108" s="1"/>
  <c r="B23"/>
  <c r="B35" s="1"/>
  <c r="B47" s="1"/>
  <c r="B59" s="1"/>
  <c r="B71" s="1"/>
  <c r="B83" s="1"/>
  <c r="B95" s="1"/>
  <c r="B107" s="1"/>
  <c r="B119" s="1"/>
  <c r="B131" s="1"/>
  <c r="A23"/>
  <c r="A35" s="1"/>
  <c r="A47" s="1"/>
  <c r="A59" s="1"/>
  <c r="A71" s="1"/>
  <c r="A83" s="1"/>
  <c r="A95" s="1"/>
  <c r="A107" s="1"/>
  <c r="A119" s="1"/>
  <c r="A131" s="1"/>
  <c r="Z129" l="1"/>
  <c r="Z130" s="1"/>
  <c r="Z131" s="1"/>
  <c r="Z132" s="1"/>
  <c r="Z133" s="1"/>
  <c r="Z134" s="1"/>
  <c r="Z135" s="1"/>
  <c r="Z136" s="1"/>
  <c r="Z137" s="1"/>
  <c r="Z138" s="1"/>
  <c r="Z139" s="1"/>
  <c r="Z140" s="1"/>
  <c r="Z141" s="1"/>
  <c r="Z142" s="1"/>
  <c r="Z128"/>
  <c r="G7"/>
  <c r="S7" s="1"/>
  <c r="R7" s="1"/>
  <c r="D7" s="1"/>
  <c r="C7" s="1"/>
  <c r="I8"/>
  <c r="F7"/>
  <c r="G40"/>
  <c r="S40" s="1"/>
  <c r="R40" s="1"/>
  <c r="I41"/>
  <c r="F40"/>
  <c r="D26" i="5"/>
  <c r="E27" s="1"/>
  <c r="AK130" i="1"/>
  <c r="AJ130" s="1"/>
  <c r="E130" s="1"/>
  <c r="G28"/>
  <c r="S28" s="1"/>
  <c r="R28" s="1"/>
  <c r="F110"/>
  <c r="G27"/>
  <c r="S27" s="1"/>
  <c r="R27" s="1"/>
  <c r="E21" i="5"/>
  <c r="F21" s="1"/>
  <c r="G21" s="1"/>
  <c r="F39" i="1"/>
  <c r="F6"/>
  <c r="AK64"/>
  <c r="AJ64" s="1"/>
  <c r="E64" s="1"/>
  <c r="G55"/>
  <c r="AK58"/>
  <c r="AJ58" s="1"/>
  <c r="E58" s="1"/>
  <c r="D15" i="5"/>
  <c r="E16" s="1"/>
  <c r="F3" i="1"/>
  <c r="G6"/>
  <c r="S6" s="1"/>
  <c r="R6" s="1"/>
  <c r="D6" s="1"/>
  <c r="C6" s="1"/>
  <c r="G54"/>
  <c r="AK100"/>
  <c r="AJ100" s="1"/>
  <c r="E100" s="1"/>
  <c r="AK88"/>
  <c r="AJ88" s="1"/>
  <c r="E88" s="1"/>
  <c r="AK142"/>
  <c r="AJ142" s="1"/>
  <c r="E142" s="1"/>
  <c r="G74"/>
  <c r="AK76"/>
  <c r="AJ76" s="1"/>
  <c r="E76" s="1"/>
  <c r="F5"/>
  <c r="G39"/>
  <c r="F4"/>
  <c r="D14" i="5"/>
  <c r="E15" s="1"/>
  <c r="F98" i="1"/>
  <c r="AK52"/>
  <c r="AJ52" s="1"/>
  <c r="E52" s="1"/>
  <c r="G5"/>
  <c r="S5" s="1"/>
  <c r="R5" s="1"/>
  <c r="D5" s="1"/>
  <c r="C5" s="1"/>
  <c r="AK46"/>
  <c r="AJ46" s="1"/>
  <c r="E46" s="1"/>
  <c r="D10" i="5"/>
  <c r="E11" s="1"/>
  <c r="F11" s="1"/>
  <c r="F12" s="1"/>
  <c r="G12" s="1"/>
  <c r="G4" i="1"/>
  <c r="S4" s="1"/>
  <c r="AK40"/>
  <c r="AJ40" s="1"/>
  <c r="E40" s="1"/>
  <c r="G51"/>
  <c r="F27"/>
  <c r="AK82"/>
  <c r="AJ82" s="1"/>
  <c r="E82" s="1"/>
  <c r="AK70"/>
  <c r="AJ70" s="1"/>
  <c r="E70" s="1"/>
  <c r="S38"/>
  <c r="R38" s="1"/>
  <c r="D38" s="1"/>
  <c r="C38" s="1"/>
  <c r="AK34"/>
  <c r="AJ34" s="1"/>
  <c r="E34" s="1"/>
  <c r="S50"/>
  <c r="R50" s="1"/>
  <c r="F64" i="5"/>
  <c r="F13"/>
  <c r="E13"/>
  <c r="D64"/>
  <c r="G36"/>
  <c r="F35"/>
  <c r="G35" s="1"/>
  <c r="F36"/>
  <c r="F16"/>
  <c r="G16" s="1"/>
  <c r="G17"/>
  <c r="G30"/>
  <c r="G7"/>
  <c r="G25"/>
  <c r="G29"/>
  <c r="F17"/>
  <c r="F18" s="1"/>
  <c r="E4"/>
  <c r="G4" s="1"/>
  <c r="F4"/>
  <c r="F5" s="1"/>
  <c r="F32"/>
  <c r="G32" s="1"/>
  <c r="F29"/>
  <c r="G33"/>
  <c r="G34"/>
  <c r="F30"/>
  <c r="F7"/>
  <c r="F25"/>
  <c r="E10" i="7"/>
  <c r="F9"/>
  <c r="E8"/>
  <c r="E6"/>
  <c r="E41"/>
  <c r="F40"/>
  <c r="E39"/>
  <c r="F6"/>
  <c r="F15"/>
  <c r="E26"/>
  <c r="F36"/>
  <c r="F25"/>
  <c r="F29"/>
  <c r="F7"/>
  <c r="F16"/>
  <c r="E9"/>
  <c r="E30"/>
  <c r="E19"/>
  <c r="F18"/>
  <c r="E17"/>
  <c r="E37"/>
  <c r="F24"/>
  <c r="F13"/>
  <c r="E34"/>
  <c r="F12"/>
  <c r="F22"/>
  <c r="F11"/>
  <c r="F32"/>
  <c r="F8"/>
  <c r="E38"/>
  <c r="F23"/>
  <c r="F33"/>
  <c r="F21"/>
  <c r="F28"/>
  <c r="E27"/>
  <c r="F10"/>
  <c r="F5"/>
  <c r="AF124" i="1"/>
  <c r="AF136"/>
  <c r="AK136" s="1"/>
  <c r="AJ136" s="1"/>
  <c r="E136" s="1"/>
  <c r="G125"/>
  <c r="F23" i="5"/>
  <c r="E19"/>
  <c r="E18"/>
  <c r="F31"/>
  <c r="E31"/>
  <c r="E26"/>
  <c r="E24"/>
  <c r="E14"/>
  <c r="E10"/>
  <c r="E9"/>
  <c r="F9" s="1"/>
  <c r="E8"/>
  <c r="F8" s="1"/>
  <c r="E23"/>
  <c r="L127" i="1"/>
  <c r="AK118"/>
  <c r="AJ118" s="1"/>
  <c r="E118" s="1"/>
  <c r="E40" i="5"/>
  <c r="AD112" i="1"/>
  <c r="AD113" s="1"/>
  <c r="AD114" s="1"/>
  <c r="AD115" s="1"/>
  <c r="AD116" s="1"/>
  <c r="AD117" s="1"/>
  <c r="AD118" s="1"/>
  <c r="AD119" s="1"/>
  <c r="AD120" s="1"/>
  <c r="AD121" s="1"/>
  <c r="AD122" s="1"/>
  <c r="AD123" s="1"/>
  <c r="AD124" s="1"/>
  <c r="AD125" s="1"/>
  <c r="AD126" s="1"/>
  <c r="AD127" s="1"/>
  <c r="AD128" s="1"/>
  <c r="AD129" s="1"/>
  <c r="AD130" s="1"/>
  <c r="AD131" s="1"/>
  <c r="AD132" s="1"/>
  <c r="AD133" s="1"/>
  <c r="AD134" s="1"/>
  <c r="AD135" s="1"/>
  <c r="AD136" s="1"/>
  <c r="AD137" s="1"/>
  <c r="AD138" s="1"/>
  <c r="AD139" s="1"/>
  <c r="AD140" s="1"/>
  <c r="AD141" s="1"/>
  <c r="AD142" s="1"/>
  <c r="E37" i="5"/>
  <c r="F37" s="1"/>
  <c r="F38" s="1"/>
  <c r="E38"/>
  <c r="S39" i="1"/>
  <c r="R39" s="1"/>
  <c r="R26"/>
  <c r="D26" s="1"/>
  <c r="C26" s="1"/>
  <c r="AK112"/>
  <c r="AJ112" s="1"/>
  <c r="E112" s="1"/>
  <c r="I56"/>
  <c r="E94"/>
  <c r="S51"/>
  <c r="R51" s="1"/>
  <c r="S52"/>
  <c r="R52" s="1"/>
  <c r="I29"/>
  <c r="E28"/>
  <c r="R3"/>
  <c r="E16"/>
  <c r="I15"/>
  <c r="R14"/>
  <c r="E22"/>
  <c r="E10"/>
  <c r="R4"/>
  <c r="R2"/>
  <c r="B10" i="2"/>
  <c r="B9"/>
  <c r="B8"/>
  <c r="B7"/>
  <c r="B6"/>
  <c r="B5"/>
  <c r="B4"/>
  <c r="B3"/>
  <c r="B2"/>
  <c r="F26" i="5" l="1"/>
  <c r="G26" s="1"/>
  <c r="F15" i="1"/>
  <c r="G15"/>
  <c r="S15" s="1"/>
  <c r="R15" s="1"/>
  <c r="I42"/>
  <c r="F41"/>
  <c r="D41" s="1"/>
  <c r="C41" s="1"/>
  <c r="G41"/>
  <c r="S41" s="1"/>
  <c r="R41" s="1"/>
  <c r="F14" i="5"/>
  <c r="G14" s="1"/>
  <c r="D4" i="1"/>
  <c r="I9"/>
  <c r="G8"/>
  <c r="S8" s="1"/>
  <c r="R8" s="1"/>
  <c r="D8" s="1"/>
  <c r="C8" s="1"/>
  <c r="F8"/>
  <c r="G56"/>
  <c r="F56"/>
  <c r="F29"/>
  <c r="G29"/>
  <c r="S29" s="1"/>
  <c r="R29" s="1"/>
  <c r="G13" i="5"/>
  <c r="E39"/>
  <c r="G38"/>
  <c r="E41"/>
  <c r="F19"/>
  <c r="F20" s="1"/>
  <c r="G20" s="1"/>
  <c r="G37"/>
  <c r="F24"/>
  <c r="G24" s="1"/>
  <c r="F10"/>
  <c r="G10" s="1"/>
  <c r="G11"/>
  <c r="F22"/>
  <c r="G22" s="1"/>
  <c r="G23"/>
  <c r="F15"/>
  <c r="G15" s="1"/>
  <c r="G18"/>
  <c r="G31"/>
  <c r="G9"/>
  <c r="G8"/>
  <c r="F27"/>
  <c r="F28" s="1"/>
  <c r="G28" s="1"/>
  <c r="E5"/>
  <c r="AK124" i="1"/>
  <c r="AJ124" s="1"/>
  <c r="E124" s="1"/>
  <c r="L128"/>
  <c r="I123"/>
  <c r="F40" i="5"/>
  <c r="C16" i="4"/>
  <c r="E43" i="5"/>
  <c r="D39" i="1"/>
  <c r="C39" s="1"/>
  <c r="D40"/>
  <c r="C40" s="1"/>
  <c r="D50"/>
  <c r="C50" s="1"/>
  <c r="I57"/>
  <c r="S53"/>
  <c r="R53" s="1"/>
  <c r="D51"/>
  <c r="C51" s="1"/>
  <c r="D52"/>
  <c r="C52" s="1"/>
  <c r="D28"/>
  <c r="C28" s="1"/>
  <c r="I30"/>
  <c r="D27"/>
  <c r="C27" s="1"/>
  <c r="D3"/>
  <c r="C3" s="1"/>
  <c r="D14"/>
  <c r="C14" s="1"/>
  <c r="I16"/>
  <c r="D2"/>
  <c r="C2" s="1"/>
  <c r="AJ4"/>
  <c r="E4" s="1"/>
  <c r="C4" l="1"/>
  <c r="F16"/>
  <c r="G16"/>
  <c r="S16" s="1"/>
  <c r="R16" s="1"/>
  <c r="I43"/>
  <c r="G42"/>
  <c r="S42" s="1"/>
  <c r="R42" s="1"/>
  <c r="F42"/>
  <c r="G57"/>
  <c r="F57"/>
  <c r="I10"/>
  <c r="F9"/>
  <c r="D9" s="1"/>
  <c r="C9" s="1"/>
  <c r="G9"/>
  <c r="S9" s="1"/>
  <c r="R9" s="1"/>
  <c r="F123"/>
  <c r="G123"/>
  <c r="F30"/>
  <c r="G30"/>
  <c r="F41" i="5"/>
  <c r="G41" s="1"/>
  <c r="E44"/>
  <c r="E42"/>
  <c r="F42" s="1"/>
  <c r="G19"/>
  <c r="G5"/>
  <c r="E6"/>
  <c r="F39"/>
  <c r="G39" s="1"/>
  <c r="G40"/>
  <c r="G27"/>
  <c r="L129" i="1"/>
  <c r="S122"/>
  <c r="R122" s="1"/>
  <c r="D122" s="1"/>
  <c r="C122" s="1"/>
  <c r="S123"/>
  <c r="R123" s="1"/>
  <c r="I124"/>
  <c r="F43" i="5"/>
  <c r="G43" s="1"/>
  <c r="B16" i="4"/>
  <c r="C17" s="1"/>
  <c r="B17" s="1"/>
  <c r="C18" s="1"/>
  <c r="B18" s="1"/>
  <c r="C19" s="1"/>
  <c r="B19" s="1"/>
  <c r="C20" s="1"/>
  <c r="B20" s="1"/>
  <c r="S30" i="1"/>
  <c r="R30" s="1"/>
  <c r="I58"/>
  <c r="D53"/>
  <c r="C53" s="1"/>
  <c r="D29"/>
  <c r="C29" s="1"/>
  <c r="S54"/>
  <c r="R54" s="1"/>
  <c r="I31"/>
  <c r="D15"/>
  <c r="C15" s="1"/>
  <c r="I17"/>
  <c r="G31" l="1"/>
  <c r="F31"/>
  <c r="F17"/>
  <c r="G17"/>
  <c r="S17" s="1"/>
  <c r="R17" s="1"/>
  <c r="D42"/>
  <c r="C42" s="1"/>
  <c r="AQ10"/>
  <c r="F124"/>
  <c r="G124"/>
  <c r="S124" s="1"/>
  <c r="R124" s="1"/>
  <c r="F43"/>
  <c r="I44"/>
  <c r="G43"/>
  <c r="S43" s="1"/>
  <c r="R43" s="1"/>
  <c r="F58"/>
  <c r="G58"/>
  <c r="I11"/>
  <c r="G10"/>
  <c r="S10" s="1"/>
  <c r="R10" s="1"/>
  <c r="F10"/>
  <c r="G42" i="5"/>
  <c r="F44"/>
  <c r="F45" s="1"/>
  <c r="E45"/>
  <c r="F6"/>
  <c r="G6" s="1"/>
  <c r="L130" i="1"/>
  <c r="D123"/>
  <c r="C123" s="1"/>
  <c r="E47" i="5"/>
  <c r="C21" i="4"/>
  <c r="B21" s="1"/>
  <c r="C22" s="1"/>
  <c r="B22" s="1"/>
  <c r="C23" s="1"/>
  <c r="B23" s="1"/>
  <c r="S31" i="1"/>
  <c r="R31" s="1"/>
  <c r="I59"/>
  <c r="S55"/>
  <c r="R55" s="1"/>
  <c r="D54"/>
  <c r="C54" s="1"/>
  <c r="D30"/>
  <c r="C30" s="1"/>
  <c r="I32"/>
  <c r="I18"/>
  <c r="D16"/>
  <c r="C16" s="1"/>
  <c r="F59" l="1"/>
  <c r="G59"/>
  <c r="F32"/>
  <c r="G32"/>
  <c r="G18"/>
  <c r="S18" s="1"/>
  <c r="R18" s="1"/>
  <c r="F18"/>
  <c r="I12"/>
  <c r="F11"/>
  <c r="G11"/>
  <c r="S11" s="1"/>
  <c r="R11" s="1"/>
  <c r="G44"/>
  <c r="S44" s="1"/>
  <c r="R44" s="1"/>
  <c r="I45"/>
  <c r="F44"/>
  <c r="D43"/>
  <c r="C43" s="1"/>
  <c r="D10"/>
  <c r="C10" s="1"/>
  <c r="AT10" s="1"/>
  <c r="AW10" s="1"/>
  <c r="G45" i="5"/>
  <c r="E46"/>
  <c r="E48"/>
  <c r="G47"/>
  <c r="G44"/>
  <c r="L131" i="1"/>
  <c r="F47" i="5"/>
  <c r="S125" i="1"/>
  <c r="R125" s="1"/>
  <c r="I126"/>
  <c r="D124"/>
  <c r="C124" s="1"/>
  <c r="F52" i="5"/>
  <c r="C24" i="4"/>
  <c r="B24" s="1"/>
  <c r="S32" i="1"/>
  <c r="R32" s="1"/>
  <c r="I60"/>
  <c r="D55"/>
  <c r="C55" s="1"/>
  <c r="S56"/>
  <c r="R56" s="1"/>
  <c r="D31"/>
  <c r="C31" s="1"/>
  <c r="I33"/>
  <c r="I19"/>
  <c r="D17"/>
  <c r="C17" s="1"/>
  <c r="F60" l="1"/>
  <c r="G60"/>
  <c r="G33"/>
  <c r="S33" s="1"/>
  <c r="R33" s="1"/>
  <c r="F33"/>
  <c r="G19"/>
  <c r="S19" s="1"/>
  <c r="R19" s="1"/>
  <c r="F19"/>
  <c r="D44"/>
  <c r="C44" s="1"/>
  <c r="I13"/>
  <c r="F12"/>
  <c r="G12"/>
  <c r="S12" s="1"/>
  <c r="R12" s="1"/>
  <c r="D12" s="1"/>
  <c r="C12" s="1"/>
  <c r="F45"/>
  <c r="I46"/>
  <c r="G45"/>
  <c r="S45" s="1"/>
  <c r="R45" s="1"/>
  <c r="F126"/>
  <c r="G126"/>
  <c r="D11"/>
  <c r="C11" s="1"/>
  <c r="E49" i="5"/>
  <c r="G46"/>
  <c r="F46"/>
  <c r="F48"/>
  <c r="G48" s="1"/>
  <c r="F53"/>
  <c r="G52"/>
  <c r="E62"/>
  <c r="F60"/>
  <c r="L132" i="1"/>
  <c r="S126"/>
  <c r="R126" s="1"/>
  <c r="I127"/>
  <c r="D125"/>
  <c r="C125" s="1"/>
  <c r="C25" i="4"/>
  <c r="B25" s="1"/>
  <c r="I61" i="1"/>
  <c r="D32"/>
  <c r="C32" s="1"/>
  <c r="S57"/>
  <c r="R57" s="1"/>
  <c r="D56"/>
  <c r="C56" s="1"/>
  <c r="I34"/>
  <c r="I20"/>
  <c r="D18"/>
  <c r="C18" s="1"/>
  <c r="F127" l="1"/>
  <c r="G127"/>
  <c r="I47"/>
  <c r="G46"/>
  <c r="S46" s="1"/>
  <c r="R46" s="1"/>
  <c r="F46"/>
  <c r="D45"/>
  <c r="C45" s="1"/>
  <c r="F61"/>
  <c r="G61"/>
  <c r="F13"/>
  <c r="G13"/>
  <c r="S13" s="1"/>
  <c r="R13" s="1"/>
  <c r="G34"/>
  <c r="F34"/>
  <c r="G20"/>
  <c r="S20" s="1"/>
  <c r="F20"/>
  <c r="F54" i="5"/>
  <c r="G53"/>
  <c r="E50"/>
  <c r="F49"/>
  <c r="F50" s="1"/>
  <c r="F51" s="1"/>
  <c r="G51" s="1"/>
  <c r="E63"/>
  <c r="F61"/>
  <c r="G60"/>
  <c r="L133" i="1"/>
  <c r="I128"/>
  <c r="S127"/>
  <c r="R127" s="1"/>
  <c r="D126"/>
  <c r="C126" s="1"/>
  <c r="C26" i="4"/>
  <c r="B26" s="1"/>
  <c r="C27" s="1"/>
  <c r="B27" s="1"/>
  <c r="I35" i="1"/>
  <c r="S34"/>
  <c r="R34" s="1"/>
  <c r="D57"/>
  <c r="C57" s="1"/>
  <c r="D33"/>
  <c r="C33" s="1"/>
  <c r="S58"/>
  <c r="R58" s="1"/>
  <c r="I21"/>
  <c r="R20"/>
  <c r="D19"/>
  <c r="C19" s="1"/>
  <c r="G49" i="5" l="1"/>
  <c r="D46" i="1"/>
  <c r="C46" s="1"/>
  <c r="D13"/>
  <c r="C13" s="1"/>
  <c r="G35"/>
  <c r="S35" s="1"/>
  <c r="R35" s="1"/>
  <c r="F35"/>
  <c r="I48"/>
  <c r="G47"/>
  <c r="S47" s="1"/>
  <c r="R47" s="1"/>
  <c r="F47"/>
  <c r="G21"/>
  <c r="S21" s="1"/>
  <c r="F21"/>
  <c r="F128"/>
  <c r="G128"/>
  <c r="S128" s="1"/>
  <c r="R128" s="1"/>
  <c r="E58" i="5"/>
  <c r="G50"/>
  <c r="F55"/>
  <c r="G54"/>
  <c r="F62"/>
  <c r="G61"/>
  <c r="L134" i="1"/>
  <c r="I129"/>
  <c r="D127"/>
  <c r="C127" s="1"/>
  <c r="C28" i="4"/>
  <c r="B28" s="1"/>
  <c r="C29" s="1"/>
  <c r="B29" s="1"/>
  <c r="I36" i="1"/>
  <c r="I63"/>
  <c r="S62"/>
  <c r="R62" s="1"/>
  <c r="D58"/>
  <c r="C58" s="1"/>
  <c r="S59"/>
  <c r="R59" s="1"/>
  <c r="D34"/>
  <c r="C34" s="1"/>
  <c r="R21"/>
  <c r="D21" s="1"/>
  <c r="C21" s="1"/>
  <c r="I22"/>
  <c r="D20"/>
  <c r="C20" s="1"/>
  <c r="F48" l="1"/>
  <c r="D48" s="1"/>
  <c r="C48" s="1"/>
  <c r="G48"/>
  <c r="S48" s="1"/>
  <c r="R48" s="1"/>
  <c r="I49"/>
  <c r="G22"/>
  <c r="S22" s="1"/>
  <c r="R22" s="1"/>
  <c r="AQ22"/>
  <c r="AR22" s="1"/>
  <c r="AS22" s="1"/>
  <c r="I23"/>
  <c r="F22"/>
  <c r="D47"/>
  <c r="C47" s="1"/>
  <c r="F129"/>
  <c r="G129"/>
  <c r="S129" s="1"/>
  <c r="R129" s="1"/>
  <c r="F36"/>
  <c r="G36"/>
  <c r="F63"/>
  <c r="G63"/>
  <c r="E59" i="5"/>
  <c r="F56"/>
  <c r="G55"/>
  <c r="E65"/>
  <c r="F63"/>
  <c r="G62"/>
  <c r="L135" i="1"/>
  <c r="D128"/>
  <c r="C128" s="1"/>
  <c r="I130"/>
  <c r="C30" i="4"/>
  <c r="B30" s="1"/>
  <c r="D35" i="1"/>
  <c r="C35" s="1"/>
  <c r="I37"/>
  <c r="S36"/>
  <c r="R36" s="1"/>
  <c r="D36" s="1"/>
  <c r="C36" s="1"/>
  <c r="I64"/>
  <c r="S63"/>
  <c r="R63" s="1"/>
  <c r="D62"/>
  <c r="C62" s="1"/>
  <c r="D59"/>
  <c r="C59" s="1"/>
  <c r="S60"/>
  <c r="R60" s="1"/>
  <c r="G37" l="1"/>
  <c r="S37" s="1"/>
  <c r="R37" s="1"/>
  <c r="AQ46"/>
  <c r="F37"/>
  <c r="G49"/>
  <c r="S49" s="1"/>
  <c r="R49" s="1"/>
  <c r="AQ58"/>
  <c r="F49"/>
  <c r="F64"/>
  <c r="G64"/>
  <c r="S64" s="1"/>
  <c r="R64" s="1"/>
  <c r="F23"/>
  <c r="G23"/>
  <c r="S23" s="1"/>
  <c r="R23" s="1"/>
  <c r="D23" s="1"/>
  <c r="C23" s="1"/>
  <c r="I24"/>
  <c r="F130"/>
  <c r="G130"/>
  <c r="S130" s="1"/>
  <c r="R130" s="1"/>
  <c r="F57" i="5"/>
  <c r="G56"/>
  <c r="E66"/>
  <c r="G63"/>
  <c r="L136" i="1"/>
  <c r="I131"/>
  <c r="D129"/>
  <c r="C129" s="1"/>
  <c r="C31" i="4"/>
  <c r="B31" s="1"/>
  <c r="I65" i="1"/>
  <c r="D63"/>
  <c r="C63" s="1"/>
  <c r="D60"/>
  <c r="C60" s="1"/>
  <c r="S61"/>
  <c r="R61" s="1"/>
  <c r="D22"/>
  <c r="C22" s="1"/>
  <c r="AT22" s="1"/>
  <c r="AW22" s="1"/>
  <c r="I25" l="1"/>
  <c r="F24"/>
  <c r="D24" s="1"/>
  <c r="C24" s="1"/>
  <c r="G24"/>
  <c r="S24" s="1"/>
  <c r="R24" s="1"/>
  <c r="F131"/>
  <c r="G131"/>
  <c r="S131" s="1"/>
  <c r="R131" s="1"/>
  <c r="G65"/>
  <c r="S65" s="1"/>
  <c r="R65" s="1"/>
  <c r="F65"/>
  <c r="D49"/>
  <c r="C49" s="1"/>
  <c r="AT58" s="1"/>
  <c r="AW58" s="1"/>
  <c r="F58" i="5"/>
  <c r="G57"/>
  <c r="E67"/>
  <c r="F65"/>
  <c r="G64"/>
  <c r="L137" i="1"/>
  <c r="D130"/>
  <c r="C130" s="1"/>
  <c r="I132"/>
  <c r="C32" i="4"/>
  <c r="B32" s="1"/>
  <c r="D37" i="1"/>
  <c r="C37" s="1"/>
  <c r="AR58"/>
  <c r="AS58" s="1"/>
  <c r="AU22"/>
  <c r="AV22" s="1"/>
  <c r="I66"/>
  <c r="D64"/>
  <c r="C64" s="1"/>
  <c r="D61"/>
  <c r="C61" s="1"/>
  <c r="AQ34" l="1"/>
  <c r="F25"/>
  <c r="G25"/>
  <c r="S25" s="1"/>
  <c r="R25" s="1"/>
  <c r="F132"/>
  <c r="G132"/>
  <c r="S132" s="1"/>
  <c r="R132" s="1"/>
  <c r="G66"/>
  <c r="S66" s="1"/>
  <c r="R66" s="1"/>
  <c r="F66"/>
  <c r="F59" i="5"/>
  <c r="G59" s="1"/>
  <c r="G58"/>
  <c r="E68"/>
  <c r="F66"/>
  <c r="G65"/>
  <c r="L138" i="1"/>
  <c r="I133"/>
  <c r="D131"/>
  <c r="C131" s="1"/>
  <c r="C33" i="4"/>
  <c r="B33" s="1"/>
  <c r="AT46" i="1"/>
  <c r="AU58" s="1"/>
  <c r="AV58" s="1"/>
  <c r="I67"/>
  <c r="D65"/>
  <c r="C65" s="1"/>
  <c r="G133" l="1"/>
  <c r="S133" s="1"/>
  <c r="R133" s="1"/>
  <c r="F133"/>
  <c r="D25"/>
  <c r="C25" s="1"/>
  <c r="AT34" s="1"/>
  <c r="AR34"/>
  <c r="AS34" s="1"/>
  <c r="AR46"/>
  <c r="AS46" s="1"/>
  <c r="G67"/>
  <c r="S67" s="1"/>
  <c r="R67" s="1"/>
  <c r="F67"/>
  <c r="E69" i="5"/>
  <c r="F67"/>
  <c r="G66"/>
  <c r="L139" i="1"/>
  <c r="D132"/>
  <c r="C132" s="1"/>
  <c r="I134"/>
  <c r="AW46"/>
  <c r="C34" i="4"/>
  <c r="B34" s="1"/>
  <c r="I68" i="1"/>
  <c r="D66"/>
  <c r="C66" s="1"/>
  <c r="AW34" l="1"/>
  <c r="AU34"/>
  <c r="AV34" s="1"/>
  <c r="G134"/>
  <c r="S134" s="1"/>
  <c r="R134" s="1"/>
  <c r="F134"/>
  <c r="G68"/>
  <c r="S68" s="1"/>
  <c r="R68" s="1"/>
  <c r="F68"/>
  <c r="AU46"/>
  <c r="AV46" s="1"/>
  <c r="E70" i="5"/>
  <c r="F68"/>
  <c r="G67"/>
  <c r="L140" i="1"/>
  <c r="I135"/>
  <c r="D133"/>
  <c r="C133" s="1"/>
  <c r="C35" i="4"/>
  <c r="B35" s="1"/>
  <c r="I69" i="1"/>
  <c r="D67"/>
  <c r="C67" s="1"/>
  <c r="F135" l="1"/>
  <c r="G135"/>
  <c r="S135" s="1"/>
  <c r="R135" s="1"/>
  <c r="G69"/>
  <c r="S69" s="1"/>
  <c r="R69" s="1"/>
  <c r="F69"/>
  <c r="F69" i="5"/>
  <c r="G68"/>
  <c r="L141" i="1"/>
  <c r="D134"/>
  <c r="C134" s="1"/>
  <c r="I136"/>
  <c r="C36" i="4"/>
  <c r="B36" s="1"/>
  <c r="I70" i="1"/>
  <c r="D68"/>
  <c r="C68" s="1"/>
  <c r="F136" l="1"/>
  <c r="G136"/>
  <c r="S136" s="1"/>
  <c r="R136" s="1"/>
  <c r="G70"/>
  <c r="S70" s="1"/>
  <c r="R70" s="1"/>
  <c r="AQ70"/>
  <c r="AR70" s="1"/>
  <c r="AS70" s="1"/>
  <c r="F70"/>
  <c r="F70" i="5"/>
  <c r="G70" s="1"/>
  <c r="G69"/>
  <c r="L142" i="1"/>
  <c r="I137"/>
  <c r="D135"/>
  <c r="C135" s="1"/>
  <c r="C37" i="4"/>
  <c r="B37" s="1"/>
  <c r="I71" i="1"/>
  <c r="D69"/>
  <c r="C69" s="1"/>
  <c r="F137" l="1"/>
  <c r="G137"/>
  <c r="S137" s="1"/>
  <c r="R137" s="1"/>
  <c r="F71"/>
  <c r="G71"/>
  <c r="S71" s="1"/>
  <c r="R71" s="1"/>
  <c r="I138"/>
  <c r="D136"/>
  <c r="C136" s="1"/>
  <c r="B38" i="4"/>
  <c r="C38"/>
  <c r="I72" i="1"/>
  <c r="D70"/>
  <c r="C70" s="1"/>
  <c r="G138" l="1"/>
  <c r="S138" s="1"/>
  <c r="R138" s="1"/>
  <c r="F138"/>
  <c r="F72"/>
  <c r="G72"/>
  <c r="S72" s="1"/>
  <c r="R72" s="1"/>
  <c r="I139"/>
  <c r="D137"/>
  <c r="C137" s="1"/>
  <c r="B39" i="4"/>
  <c r="C39"/>
  <c r="AT70" i="1"/>
  <c r="AW70" s="1"/>
  <c r="I73"/>
  <c r="D71"/>
  <c r="C71" s="1"/>
  <c r="F139" l="1"/>
  <c r="G139"/>
  <c r="S139" s="1"/>
  <c r="R139" s="1"/>
  <c r="F73"/>
  <c r="G73"/>
  <c r="S73" s="1"/>
  <c r="R73" s="1"/>
  <c r="AU70"/>
  <c r="AV70" s="1"/>
  <c r="I140"/>
  <c r="D138"/>
  <c r="C138" s="1"/>
  <c r="C40" i="4"/>
  <c r="B40" s="1"/>
  <c r="D72" i="1"/>
  <c r="C72" s="1"/>
  <c r="G140" l="1"/>
  <c r="S140" s="1"/>
  <c r="R140" s="1"/>
  <c r="F140"/>
  <c r="I141"/>
  <c r="D139"/>
  <c r="C139" s="1"/>
  <c r="B41" i="4"/>
  <c r="C41"/>
  <c r="I75" i="1"/>
  <c r="S74"/>
  <c r="R74" s="1"/>
  <c r="D73"/>
  <c r="C73" s="1"/>
  <c r="I142" l="1"/>
  <c r="G141"/>
  <c r="S141" s="1"/>
  <c r="R141" s="1"/>
  <c r="F141"/>
  <c r="F75"/>
  <c r="G75"/>
  <c r="S75" s="1"/>
  <c r="R75" s="1"/>
  <c r="D140"/>
  <c r="C140" s="1"/>
  <c r="C42" i="4"/>
  <c r="B42" s="1"/>
  <c r="I76" i="1"/>
  <c r="D74"/>
  <c r="C74" s="1"/>
  <c r="F76" l="1"/>
  <c r="G76"/>
  <c r="S76" s="1"/>
  <c r="R76" s="1"/>
  <c r="F142"/>
  <c r="D142" s="1"/>
  <c r="C142" s="1"/>
  <c r="G142"/>
  <c r="S142" s="1"/>
  <c r="R142" s="1"/>
  <c r="AQ142"/>
  <c r="D141"/>
  <c r="C141" s="1"/>
  <c r="B43" i="4"/>
  <c r="C43"/>
  <c r="D75" i="1"/>
  <c r="C75" s="1"/>
  <c r="I77"/>
  <c r="F77" l="1"/>
  <c r="G77"/>
  <c r="S77" s="1"/>
  <c r="R77" s="1"/>
  <c r="AT142"/>
  <c r="AW142" s="1"/>
  <c r="C44" i="4"/>
  <c r="B44" s="1"/>
  <c r="I78" i="1"/>
  <c r="D76"/>
  <c r="C76" s="1"/>
  <c r="F78" l="1"/>
  <c r="G78"/>
  <c r="S78" s="1"/>
  <c r="R78" s="1"/>
  <c r="I79"/>
  <c r="D77"/>
  <c r="C77" s="1"/>
  <c r="G79" l="1"/>
  <c r="S79" s="1"/>
  <c r="R79" s="1"/>
  <c r="F79"/>
  <c r="I80"/>
  <c r="D78"/>
  <c r="C78" s="1"/>
  <c r="F80" l="1"/>
  <c r="G80"/>
  <c r="S80" s="1"/>
  <c r="R80" s="1"/>
  <c r="I81"/>
  <c r="D79"/>
  <c r="C79" s="1"/>
  <c r="F81" l="1"/>
  <c r="G81"/>
  <c r="S81" s="1"/>
  <c r="R81" s="1"/>
  <c r="I82"/>
  <c r="D80"/>
  <c r="C80" s="1"/>
  <c r="F82" l="1"/>
  <c r="AQ82"/>
  <c r="AR82" s="1"/>
  <c r="AS82" s="1"/>
  <c r="G82"/>
  <c r="S82" s="1"/>
  <c r="R82" s="1"/>
  <c r="I83"/>
  <c r="D81"/>
  <c r="C81" s="1"/>
  <c r="F83" l="1"/>
  <c r="G83"/>
  <c r="S83" s="1"/>
  <c r="R83" s="1"/>
  <c r="I84"/>
  <c r="D82"/>
  <c r="C82" s="1"/>
  <c r="AT82" s="1"/>
  <c r="AW82" s="1"/>
  <c r="G84" l="1"/>
  <c r="S84" s="1"/>
  <c r="R84" s="1"/>
  <c r="F84"/>
  <c r="I85"/>
  <c r="AU82"/>
  <c r="AV82" s="1"/>
  <c r="D83"/>
  <c r="C83" s="1"/>
  <c r="F85" l="1"/>
  <c r="G85"/>
  <c r="S85" s="1"/>
  <c r="R85" s="1"/>
  <c r="D84"/>
  <c r="C84" s="1"/>
  <c r="I87" l="1"/>
  <c r="S86"/>
  <c r="R86" s="1"/>
  <c r="D85"/>
  <c r="C85" s="1"/>
  <c r="F87" l="1"/>
  <c r="G87"/>
  <c r="S87" s="1"/>
  <c r="R87" s="1"/>
  <c r="I88"/>
  <c r="D86"/>
  <c r="C86" s="1"/>
  <c r="F88" l="1"/>
  <c r="G88"/>
  <c r="S88" s="1"/>
  <c r="R88" s="1"/>
  <c r="I89"/>
  <c r="D87"/>
  <c r="C87" s="1"/>
  <c r="F89" l="1"/>
  <c r="G89"/>
  <c r="S89" s="1"/>
  <c r="R89" s="1"/>
  <c r="I90"/>
  <c r="D88"/>
  <c r="C88" s="1"/>
  <c r="F90" l="1"/>
  <c r="G90"/>
  <c r="S90" s="1"/>
  <c r="R90" s="1"/>
  <c r="I91"/>
  <c r="D89"/>
  <c r="C89" s="1"/>
  <c r="F91" l="1"/>
  <c r="G91"/>
  <c r="S91" s="1"/>
  <c r="R91" s="1"/>
  <c r="I92"/>
  <c r="D90"/>
  <c r="C90" s="1"/>
  <c r="F92" l="1"/>
  <c r="G92"/>
  <c r="S92" s="1"/>
  <c r="R92" s="1"/>
  <c r="I93"/>
  <c r="D91"/>
  <c r="C91" s="1"/>
  <c r="F93" l="1"/>
  <c r="G93"/>
  <c r="S93" s="1"/>
  <c r="R93" s="1"/>
  <c r="I94"/>
  <c r="D92"/>
  <c r="C92" s="1"/>
  <c r="G94" l="1"/>
  <c r="S94" s="1"/>
  <c r="R94" s="1"/>
  <c r="F94"/>
  <c r="AQ94"/>
  <c r="AR94" s="1"/>
  <c r="AS94" s="1"/>
  <c r="I95"/>
  <c r="D93"/>
  <c r="C93" s="1"/>
  <c r="F95" l="1"/>
  <c r="G95"/>
  <c r="S95" s="1"/>
  <c r="R95" s="1"/>
  <c r="I96"/>
  <c r="D94"/>
  <c r="C94" s="1"/>
  <c r="G96" l="1"/>
  <c r="S96" s="1"/>
  <c r="R96" s="1"/>
  <c r="F96"/>
  <c r="AT94"/>
  <c r="AW94" s="1"/>
  <c r="I97"/>
  <c r="D95"/>
  <c r="C95" s="1"/>
  <c r="F97" l="1"/>
  <c r="G97"/>
  <c r="S97" s="1"/>
  <c r="R97" s="1"/>
  <c r="AU94"/>
  <c r="AV94" s="1"/>
  <c r="D96"/>
  <c r="C96" s="1"/>
  <c r="S98" l="1"/>
  <c r="R98" s="1"/>
  <c r="D98" s="1"/>
  <c r="C98" s="1"/>
  <c r="I99"/>
  <c r="D97"/>
  <c r="C97" s="1"/>
  <c r="F99" l="1"/>
  <c r="G99"/>
  <c r="S99" s="1"/>
  <c r="R99" s="1"/>
  <c r="D99" s="1"/>
  <c r="C99" s="1"/>
  <c r="I100"/>
  <c r="G100" l="1"/>
  <c r="S100" s="1"/>
  <c r="R100" s="1"/>
  <c r="D100" s="1"/>
  <c r="C100" s="1"/>
  <c r="F100"/>
  <c r="I101"/>
  <c r="F101" l="1"/>
  <c r="G101"/>
  <c r="S101" s="1"/>
  <c r="R101" s="1"/>
  <c r="D101" s="1"/>
  <c r="C101" s="1"/>
  <c r="I102"/>
  <c r="G102" l="1"/>
  <c r="S102" s="1"/>
  <c r="R102" s="1"/>
  <c r="F102"/>
  <c r="I103"/>
  <c r="F103" l="1"/>
  <c r="G103"/>
  <c r="S103" s="1"/>
  <c r="R103" s="1"/>
  <c r="I104"/>
  <c r="D102"/>
  <c r="C102" s="1"/>
  <c r="G104" l="1"/>
  <c r="S104" s="1"/>
  <c r="R104" s="1"/>
  <c r="F104"/>
  <c r="I105"/>
  <c r="D103"/>
  <c r="C103" s="1"/>
  <c r="F105" l="1"/>
  <c r="G105"/>
  <c r="S105" s="1"/>
  <c r="R105" s="1"/>
  <c r="I106"/>
  <c r="D104"/>
  <c r="C104" s="1"/>
  <c r="G106" l="1"/>
  <c r="S106" s="1"/>
  <c r="R106" s="1"/>
  <c r="AQ106"/>
  <c r="AR106" s="1"/>
  <c r="AS106" s="1"/>
  <c r="F106"/>
  <c r="I107"/>
  <c r="D105"/>
  <c r="C105" s="1"/>
  <c r="F107" l="1"/>
  <c r="G107"/>
  <c r="S107" s="1"/>
  <c r="R107" s="1"/>
  <c r="I108"/>
  <c r="D106"/>
  <c r="C106" s="1"/>
  <c r="F108" l="1"/>
  <c r="G108"/>
  <c r="S108" s="1"/>
  <c r="R108" s="1"/>
  <c r="AT106"/>
  <c r="AW106" s="1"/>
  <c r="I109"/>
  <c r="D107"/>
  <c r="C107" s="1"/>
  <c r="F109" l="1"/>
  <c r="G109"/>
  <c r="S109" s="1"/>
  <c r="R109" s="1"/>
  <c r="AU106"/>
  <c r="AV106" s="1"/>
  <c r="D108"/>
  <c r="C108" s="1"/>
  <c r="I111" l="1"/>
  <c r="D109"/>
  <c r="C109" s="1"/>
  <c r="G111" l="1"/>
  <c r="S111" s="1"/>
  <c r="R111" s="1"/>
  <c r="F111"/>
  <c r="R110"/>
  <c r="D110" s="1"/>
  <c r="C110" s="1"/>
  <c r="I112"/>
  <c r="F112" l="1"/>
  <c r="G112"/>
  <c r="S112" s="1"/>
  <c r="R112" s="1"/>
  <c r="I113"/>
  <c r="D111"/>
  <c r="C111" s="1"/>
  <c r="F113" l="1"/>
  <c r="G113"/>
  <c r="S113" s="1"/>
  <c r="R113" s="1"/>
  <c r="I114"/>
  <c r="D112"/>
  <c r="C112" s="1"/>
  <c r="G114" l="1"/>
  <c r="S114" s="1"/>
  <c r="R114" s="1"/>
  <c r="F114"/>
  <c r="I115"/>
  <c r="D113"/>
  <c r="C113" s="1"/>
  <c r="F115" l="1"/>
  <c r="G115"/>
  <c r="S115" s="1"/>
  <c r="R115" s="1"/>
  <c r="I116"/>
  <c r="D114"/>
  <c r="C114" s="1"/>
  <c r="F116" l="1"/>
  <c r="G116"/>
  <c r="S116" s="1"/>
  <c r="R116" s="1"/>
  <c r="I117"/>
  <c r="D115"/>
  <c r="C115" s="1"/>
  <c r="G117" l="1"/>
  <c r="S117" s="1"/>
  <c r="R117" s="1"/>
  <c r="F117"/>
  <c r="I118"/>
  <c r="D116"/>
  <c r="C116" s="1"/>
  <c r="F118" l="1"/>
  <c r="G118"/>
  <c r="S118" s="1"/>
  <c r="R118" s="1"/>
  <c r="I119"/>
  <c r="D117"/>
  <c r="C117" s="1"/>
  <c r="G119" l="1"/>
  <c r="S119" s="1"/>
  <c r="R119" s="1"/>
  <c r="F119"/>
  <c r="I120"/>
  <c r="AQ118"/>
  <c r="AR118" s="1"/>
  <c r="AS118" s="1"/>
  <c r="D118"/>
  <c r="C118" s="1"/>
  <c r="I121" l="1"/>
  <c r="F120"/>
  <c r="G120"/>
  <c r="S120" s="1"/>
  <c r="R120" s="1"/>
  <c r="D119"/>
  <c r="C119" s="1"/>
  <c r="AT118"/>
  <c r="AW118" s="1"/>
  <c r="AQ130" l="1"/>
  <c r="AR142" s="1"/>
  <c r="AS142" s="1"/>
  <c r="G121"/>
  <c r="S121" s="1"/>
  <c r="R121" s="1"/>
  <c r="D121" s="1"/>
  <c r="C121" s="1"/>
  <c r="AT130" s="1"/>
  <c r="F121"/>
  <c r="D120"/>
  <c r="C120" s="1"/>
  <c r="AU118"/>
  <c r="AV118" s="1"/>
  <c r="AR130" l="1"/>
  <c r="AS130" s="1"/>
  <c r="AW130"/>
  <c r="AU130"/>
  <c r="AV130" s="1"/>
  <c r="AU142"/>
  <c r="AV142" s="1"/>
</calcChain>
</file>

<file path=xl/sharedStrings.xml><?xml version="1.0" encoding="utf-8"?>
<sst xmlns="http://schemas.openxmlformats.org/spreadsheetml/2006/main" count="227" uniqueCount="139">
  <si>
    <t>年</t>
    <rPh sb="0" eb="1">
      <t>ネン</t>
    </rPh>
    <phoneticPr fontId="2"/>
  </si>
  <si>
    <t>月</t>
    <rPh sb="0" eb="1">
      <t>ツキ</t>
    </rPh>
    <phoneticPr fontId="2"/>
  </si>
  <si>
    <t>総手取り</t>
    <rPh sb="0" eb="1">
      <t>ソウ</t>
    </rPh>
    <rPh sb="1" eb="3">
      <t>テド</t>
    </rPh>
    <phoneticPr fontId="2"/>
  </si>
  <si>
    <t>給料手取り</t>
    <rPh sb="0" eb="2">
      <t>キュウリョウ</t>
    </rPh>
    <rPh sb="2" eb="4">
      <t>テド</t>
    </rPh>
    <phoneticPr fontId="2"/>
  </si>
  <si>
    <t>ボーナス手取り</t>
    <rPh sb="4" eb="6">
      <t>テド</t>
    </rPh>
    <phoneticPr fontId="2"/>
  </si>
  <si>
    <t>給料</t>
    <rPh sb="0" eb="2">
      <t>キュウリョウ</t>
    </rPh>
    <phoneticPr fontId="2"/>
  </si>
  <si>
    <t>基本給</t>
    <rPh sb="0" eb="3">
      <t>キホンキュウ</t>
    </rPh>
    <phoneticPr fontId="2"/>
  </si>
  <si>
    <t>時間外手当</t>
    <rPh sb="0" eb="5">
      <t>ジカンガイテアテ</t>
    </rPh>
    <phoneticPr fontId="2"/>
  </si>
  <si>
    <t>通勤費</t>
    <rPh sb="0" eb="3">
      <t>ツウキンヒ</t>
    </rPh>
    <phoneticPr fontId="2"/>
  </si>
  <si>
    <t>その他</t>
    <rPh sb="2" eb="3">
      <t>タ</t>
    </rPh>
    <phoneticPr fontId="2"/>
  </si>
  <si>
    <t>控除</t>
    <rPh sb="0" eb="2">
      <t>コウジョ</t>
    </rPh>
    <phoneticPr fontId="2"/>
  </si>
  <si>
    <t>雇用保険料</t>
    <rPh sb="0" eb="5">
      <t>コヨウホケンリョウ</t>
    </rPh>
    <phoneticPr fontId="2"/>
  </si>
  <si>
    <t>厚生年金保険料</t>
    <rPh sb="0" eb="4">
      <t>コウセイネンキン</t>
    </rPh>
    <rPh sb="4" eb="7">
      <t>ホケンリョウ</t>
    </rPh>
    <phoneticPr fontId="2"/>
  </si>
  <si>
    <t>健康保険(基本)</t>
    <rPh sb="0" eb="4">
      <t>ケンコウ</t>
    </rPh>
    <rPh sb="5" eb="7">
      <t>キホン</t>
    </rPh>
    <phoneticPr fontId="2"/>
  </si>
  <si>
    <t>健康保険(特定)</t>
    <rPh sb="0" eb="4">
      <t>ケンコウホケン</t>
    </rPh>
    <rPh sb="5" eb="7">
      <t>トクテイ</t>
    </rPh>
    <phoneticPr fontId="2"/>
  </si>
  <si>
    <t>所得税</t>
    <rPh sb="0" eb="3">
      <t>ショトクゼイ</t>
    </rPh>
    <phoneticPr fontId="2"/>
  </si>
  <si>
    <t>住民税</t>
    <rPh sb="0" eb="3">
      <t>ジュウミンゼイ</t>
    </rPh>
    <phoneticPr fontId="2"/>
  </si>
  <si>
    <t>労働組合費</t>
    <rPh sb="0" eb="5">
      <t>ロウドウクミアイヒ</t>
    </rPh>
    <phoneticPr fontId="2"/>
  </si>
  <si>
    <t>損害保険料</t>
    <rPh sb="0" eb="5">
      <t>ソンガイホケンリョウ</t>
    </rPh>
    <phoneticPr fontId="2"/>
  </si>
  <si>
    <t>昼飯</t>
    <rPh sb="0" eb="2">
      <t>ヒルメシ</t>
    </rPh>
    <phoneticPr fontId="2"/>
  </si>
  <si>
    <t>家賃</t>
    <rPh sb="0" eb="2">
      <t>ヤチン</t>
    </rPh>
    <phoneticPr fontId="2"/>
  </si>
  <si>
    <t>その他控除</t>
    <rPh sb="2" eb="3">
      <t>タ</t>
    </rPh>
    <rPh sb="3" eb="5">
      <t>コウジョ</t>
    </rPh>
    <phoneticPr fontId="2"/>
  </si>
  <si>
    <t>ボーナス</t>
    <phoneticPr fontId="2"/>
  </si>
  <si>
    <t>基本賞与</t>
    <rPh sb="0" eb="4">
      <t>キホンショウヨ</t>
    </rPh>
    <phoneticPr fontId="2"/>
  </si>
  <si>
    <t>個人別業績賞与</t>
    <rPh sb="0" eb="3">
      <t>コジンベツ</t>
    </rPh>
    <rPh sb="3" eb="5">
      <t>ギョウセキ</t>
    </rPh>
    <rPh sb="5" eb="7">
      <t>ショウヨ</t>
    </rPh>
    <phoneticPr fontId="2"/>
  </si>
  <si>
    <t>その他手当</t>
    <rPh sb="2" eb="5">
      <t>タテアテ</t>
    </rPh>
    <phoneticPr fontId="2"/>
  </si>
  <si>
    <t>ボーナス控除</t>
    <rPh sb="4" eb="6">
      <t>コウジョ</t>
    </rPh>
    <phoneticPr fontId="2"/>
  </si>
  <si>
    <t>厚生年金保険料</t>
    <rPh sb="0" eb="7">
      <t>コウセイネンキンホケンリョウ</t>
    </rPh>
    <phoneticPr fontId="2"/>
  </si>
  <si>
    <t>健康保険(基本)</t>
    <rPh sb="0" eb="4">
      <t>ケンコウホケン</t>
    </rPh>
    <rPh sb="5" eb="7">
      <t>キホン</t>
    </rPh>
    <phoneticPr fontId="2"/>
  </si>
  <si>
    <t>年収</t>
    <rPh sb="0" eb="2">
      <t>ネンシュウ</t>
    </rPh>
    <phoneticPr fontId="2"/>
  </si>
  <si>
    <t>前年増減</t>
    <rPh sb="0" eb="4">
      <t>ゼンネンゾウゲン</t>
    </rPh>
    <phoneticPr fontId="2"/>
  </si>
  <si>
    <t>前年増減月割り</t>
    <rPh sb="0" eb="4">
      <t>ゼンネンゾウゲン</t>
    </rPh>
    <rPh sb="4" eb="6">
      <t>ツキワ</t>
    </rPh>
    <phoneticPr fontId="2"/>
  </si>
  <si>
    <t>年手取り</t>
    <rPh sb="0" eb="1">
      <t>ネン</t>
    </rPh>
    <rPh sb="1" eb="3">
      <t>テド</t>
    </rPh>
    <phoneticPr fontId="2"/>
  </si>
  <si>
    <t>年手取り前年増減</t>
    <rPh sb="0" eb="3">
      <t>ネンテド</t>
    </rPh>
    <rPh sb="4" eb="8">
      <t>ゼンネンゾウゲン</t>
    </rPh>
    <phoneticPr fontId="2"/>
  </si>
  <si>
    <t>年手取り前年増減月割り</t>
    <rPh sb="0" eb="3">
      <t>ネンテド</t>
    </rPh>
    <rPh sb="4" eb="6">
      <t>ゼンネン</t>
    </rPh>
    <rPh sb="6" eb="8">
      <t>ゾウゲン</t>
    </rPh>
    <rPh sb="8" eb="10">
      <t>ツキワ</t>
    </rPh>
    <phoneticPr fontId="2"/>
  </si>
  <si>
    <t>共済会費</t>
    <rPh sb="0" eb="3">
      <t>キョウサイカイ</t>
    </rPh>
    <rPh sb="3" eb="4">
      <t>ヒ</t>
    </rPh>
    <phoneticPr fontId="2"/>
  </si>
  <si>
    <t>雇用保険対象額</t>
    <rPh sb="0" eb="2">
      <t>コヨウ</t>
    </rPh>
    <rPh sb="2" eb="4">
      <t>ホケン</t>
    </rPh>
    <rPh sb="4" eb="7">
      <t>タイショウガク</t>
    </rPh>
    <phoneticPr fontId="2"/>
  </si>
  <si>
    <t>課税対象額</t>
    <rPh sb="0" eb="2">
      <t>カゼイ</t>
    </rPh>
    <rPh sb="2" eb="5">
      <t>タイショウガク</t>
    </rPh>
    <phoneticPr fontId="2"/>
  </si>
  <si>
    <t>裁量労働手当</t>
    <rPh sb="0" eb="4">
      <t>サイリョウロウドウ</t>
    </rPh>
    <rPh sb="4" eb="6">
      <t>テアテ</t>
    </rPh>
    <phoneticPr fontId="2"/>
  </si>
  <si>
    <t>在宅勤務費用補填</t>
    <rPh sb="0" eb="2">
      <t>ザイタク</t>
    </rPh>
    <rPh sb="2" eb="4">
      <t>キンム</t>
    </rPh>
    <rPh sb="4" eb="6">
      <t>ヒヨウ</t>
    </rPh>
    <rPh sb="6" eb="8">
      <t>ホテン</t>
    </rPh>
    <phoneticPr fontId="2"/>
  </si>
  <si>
    <t>2015年</t>
    <rPh sb="4" eb="5">
      <t>ネン</t>
    </rPh>
    <phoneticPr fontId="2"/>
  </si>
  <si>
    <t>2016年</t>
    <rPh sb="4" eb="5">
      <t>ネン</t>
    </rPh>
    <phoneticPr fontId="2"/>
  </si>
  <si>
    <t>2017年</t>
    <rPh sb="4" eb="5">
      <t>ネン</t>
    </rPh>
    <phoneticPr fontId="2"/>
  </si>
  <si>
    <t>2018年</t>
    <rPh sb="4" eb="5">
      <t>ネン</t>
    </rPh>
    <phoneticPr fontId="2"/>
  </si>
  <si>
    <t>2019年</t>
    <rPh sb="4" eb="5">
      <t>ネン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</si>
  <si>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</si>
  <si>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</si>
  <si>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2022年</t>
    <rPh sb="4" eb="5">
      <t>ネン</t>
    </rPh>
    <phoneticPr fontId="2"/>
  </si>
  <si>
    <t>2023年</t>
    <rPh sb="4" eb="5">
      <t>ネン</t>
    </rPh>
    <phoneticPr fontId="2"/>
  </si>
  <si>
    <t>2024年</t>
    <rPh sb="4" eb="5">
      <t>ネン</t>
    </rPh>
    <phoneticPr fontId="2"/>
  </si>
  <si>
    <t>2025年</t>
    <rPh sb="4" eb="5">
      <t>ネン</t>
    </rPh>
    <phoneticPr fontId="2"/>
  </si>
  <si>
    <t>2026年</t>
    <rPh sb="4" eb="5">
      <t>ネン</t>
    </rPh>
    <phoneticPr fontId="2"/>
  </si>
  <si>
    <t>2027年</t>
    <rPh sb="4" eb="5">
      <t>ネン</t>
    </rPh>
    <phoneticPr fontId="2"/>
  </si>
  <si>
    <t>2028年</t>
    <rPh sb="4" eb="5">
      <t>ネン</t>
    </rPh>
    <phoneticPr fontId="2"/>
  </si>
  <si>
    <t>2029年</t>
    <rPh sb="4" eb="5">
      <t>ネン</t>
    </rPh>
    <phoneticPr fontId="2"/>
  </si>
  <si>
    <t>2030年</t>
    <rPh sb="4" eb="5">
      <t>ネン</t>
    </rPh>
    <phoneticPr fontId="2"/>
  </si>
  <si>
    <t>2031年</t>
    <rPh sb="4" eb="5">
      <t>ネン</t>
    </rPh>
    <phoneticPr fontId="2"/>
  </si>
  <si>
    <t>2032年</t>
    <rPh sb="4" eb="5">
      <t>ネン</t>
    </rPh>
    <phoneticPr fontId="2"/>
  </si>
  <si>
    <t>2033年</t>
    <rPh sb="4" eb="5">
      <t>ネン</t>
    </rPh>
    <phoneticPr fontId="2"/>
  </si>
  <si>
    <t>2034年</t>
    <rPh sb="4" eb="5">
      <t>ネン</t>
    </rPh>
    <phoneticPr fontId="2"/>
  </si>
  <si>
    <t>2035年</t>
    <rPh sb="4" eb="5">
      <t>ネン</t>
    </rPh>
    <phoneticPr fontId="2"/>
  </si>
  <si>
    <t>2036年</t>
    <rPh sb="4" eb="5">
      <t>ネン</t>
    </rPh>
    <phoneticPr fontId="2"/>
  </si>
  <si>
    <t>2037年</t>
    <rPh sb="4" eb="5">
      <t>ネン</t>
    </rPh>
    <phoneticPr fontId="2"/>
  </si>
  <si>
    <t>2038年</t>
    <rPh sb="4" eb="5">
      <t>ネン</t>
    </rPh>
    <phoneticPr fontId="2"/>
  </si>
  <si>
    <t>2039年</t>
    <rPh sb="4" eb="5">
      <t>ネン</t>
    </rPh>
    <phoneticPr fontId="2"/>
  </si>
  <si>
    <t>2040年</t>
    <rPh sb="4" eb="5">
      <t>ネン</t>
    </rPh>
    <phoneticPr fontId="2"/>
  </si>
  <si>
    <t>2041年</t>
    <rPh sb="4" eb="5">
      <t>ネン</t>
    </rPh>
    <phoneticPr fontId="2"/>
  </si>
  <si>
    <t>2042年</t>
    <rPh sb="4" eb="5">
      <t>ネン</t>
    </rPh>
    <phoneticPr fontId="2"/>
  </si>
  <si>
    <t>2043年</t>
    <rPh sb="4" eb="5">
      <t>ネン</t>
    </rPh>
    <phoneticPr fontId="2"/>
  </si>
  <si>
    <t>2044年</t>
    <rPh sb="4" eb="5">
      <t>ネン</t>
    </rPh>
    <phoneticPr fontId="2"/>
  </si>
  <si>
    <t>2045年</t>
    <rPh sb="4" eb="5">
      <t>ネン</t>
    </rPh>
    <phoneticPr fontId="2"/>
  </si>
  <si>
    <t>2046年</t>
    <rPh sb="4" eb="5">
      <t>ネン</t>
    </rPh>
    <phoneticPr fontId="2"/>
  </si>
  <si>
    <t>2047年</t>
    <rPh sb="4" eb="5">
      <t>ネン</t>
    </rPh>
    <phoneticPr fontId="2"/>
  </si>
  <si>
    <t>2048年</t>
    <rPh sb="4" eb="5">
      <t>ネン</t>
    </rPh>
    <phoneticPr fontId="2"/>
  </si>
  <si>
    <t>2049年</t>
    <rPh sb="4" eb="5">
      <t>ネン</t>
    </rPh>
    <phoneticPr fontId="2"/>
  </si>
  <si>
    <t>2050年</t>
    <rPh sb="4" eb="5">
      <t>ネン</t>
    </rPh>
    <phoneticPr fontId="2"/>
  </si>
  <si>
    <t>2051年</t>
    <rPh sb="4" eb="5">
      <t>ネン</t>
    </rPh>
    <phoneticPr fontId="2"/>
  </si>
  <si>
    <t>2052年</t>
    <rPh sb="4" eb="5">
      <t>ネン</t>
    </rPh>
    <phoneticPr fontId="2"/>
  </si>
  <si>
    <t>2053年</t>
    <rPh sb="4" eb="5">
      <t>ネン</t>
    </rPh>
    <phoneticPr fontId="2"/>
  </si>
  <si>
    <t>2054年</t>
    <rPh sb="4" eb="5">
      <t>ネン</t>
    </rPh>
    <phoneticPr fontId="2"/>
  </si>
  <si>
    <t>2055年</t>
    <rPh sb="4" eb="5">
      <t>ネン</t>
    </rPh>
    <phoneticPr fontId="2"/>
  </si>
  <si>
    <t>35歳</t>
    <rPh sb="2" eb="3">
      <t>サイ</t>
    </rPh>
    <phoneticPr fontId="2"/>
  </si>
  <si>
    <t>34歳</t>
    <rPh sb="2" eb="3">
      <t>サイ</t>
    </rPh>
    <phoneticPr fontId="2"/>
  </si>
  <si>
    <t>25歳</t>
    <rPh sb="2" eb="3">
      <t>サイ</t>
    </rPh>
    <phoneticPr fontId="2"/>
  </si>
  <si>
    <t>26歳</t>
    <rPh sb="2" eb="3">
      <t>サイ</t>
    </rPh>
    <phoneticPr fontId="2"/>
  </si>
  <si>
    <t>27歳</t>
    <rPh sb="2" eb="3">
      <t>サイ</t>
    </rPh>
    <phoneticPr fontId="2"/>
  </si>
  <si>
    <t>28歳</t>
    <rPh sb="2" eb="3">
      <t>サイ</t>
    </rPh>
    <phoneticPr fontId="2"/>
  </si>
  <si>
    <t>29歳</t>
    <rPh sb="2" eb="3">
      <t>サイ</t>
    </rPh>
    <phoneticPr fontId="2"/>
  </si>
  <si>
    <t>30歳</t>
    <rPh sb="2" eb="3">
      <t>サイ</t>
    </rPh>
    <phoneticPr fontId="2"/>
  </si>
  <si>
    <t>31歳</t>
    <rPh sb="2" eb="3">
      <t>サイ</t>
    </rPh>
    <phoneticPr fontId="2"/>
  </si>
  <si>
    <t>32歳</t>
    <rPh sb="2" eb="3">
      <t>サイ</t>
    </rPh>
    <phoneticPr fontId="2"/>
  </si>
  <si>
    <t>33歳</t>
    <rPh sb="2" eb="3">
      <t>サイ</t>
    </rPh>
    <phoneticPr fontId="2"/>
  </si>
  <si>
    <t>36歳</t>
    <rPh sb="2" eb="3">
      <t>サイ</t>
    </rPh>
    <phoneticPr fontId="2"/>
  </si>
  <si>
    <t>37歳</t>
    <rPh sb="2" eb="3">
      <t>サイ</t>
    </rPh>
    <phoneticPr fontId="2"/>
  </si>
  <si>
    <t>38歳</t>
    <rPh sb="2" eb="3">
      <t>サイ</t>
    </rPh>
    <phoneticPr fontId="2"/>
  </si>
  <si>
    <t>39歳</t>
    <rPh sb="2" eb="3">
      <t>サイ</t>
    </rPh>
    <phoneticPr fontId="2"/>
  </si>
  <si>
    <t>40歳</t>
    <rPh sb="2" eb="3">
      <t>サイ</t>
    </rPh>
    <phoneticPr fontId="2"/>
  </si>
  <si>
    <t>41歳</t>
    <rPh sb="2" eb="3">
      <t>サイ</t>
    </rPh>
    <phoneticPr fontId="2"/>
  </si>
  <si>
    <t>42歳</t>
    <rPh sb="2" eb="3">
      <t>サイ</t>
    </rPh>
    <phoneticPr fontId="2"/>
  </si>
  <si>
    <t>43歳</t>
    <rPh sb="2" eb="3">
      <t>サイ</t>
    </rPh>
    <phoneticPr fontId="2"/>
  </si>
  <si>
    <t>44歳</t>
    <rPh sb="2" eb="3">
      <t>サイ</t>
    </rPh>
    <phoneticPr fontId="2"/>
  </si>
  <si>
    <t>45歳</t>
    <rPh sb="2" eb="3">
      <t>サイ</t>
    </rPh>
    <phoneticPr fontId="2"/>
  </si>
  <si>
    <t>46歳</t>
    <rPh sb="2" eb="3">
      <t>サイ</t>
    </rPh>
    <phoneticPr fontId="2"/>
  </si>
  <si>
    <t>47歳</t>
    <rPh sb="2" eb="3">
      <t>サイ</t>
    </rPh>
    <phoneticPr fontId="2"/>
  </si>
  <si>
    <t>48歳</t>
    <rPh sb="2" eb="3">
      <t>サイ</t>
    </rPh>
    <phoneticPr fontId="2"/>
  </si>
  <si>
    <t>49歳</t>
    <rPh sb="2" eb="3">
      <t>サイ</t>
    </rPh>
    <phoneticPr fontId="2"/>
  </si>
  <si>
    <t>50歳</t>
    <rPh sb="2" eb="3">
      <t>サイ</t>
    </rPh>
    <phoneticPr fontId="2"/>
  </si>
  <si>
    <t>51歳</t>
    <rPh sb="2" eb="3">
      <t>サイ</t>
    </rPh>
    <phoneticPr fontId="2"/>
  </si>
  <si>
    <t>52歳</t>
    <rPh sb="2" eb="3">
      <t>サイ</t>
    </rPh>
    <phoneticPr fontId="2"/>
  </si>
  <si>
    <t>53歳</t>
    <rPh sb="2" eb="3">
      <t>サイ</t>
    </rPh>
    <phoneticPr fontId="2"/>
  </si>
  <si>
    <t>54歳</t>
    <rPh sb="2" eb="3">
      <t>サイ</t>
    </rPh>
    <phoneticPr fontId="2"/>
  </si>
  <si>
    <t>55歳</t>
    <rPh sb="2" eb="3">
      <t>サイ</t>
    </rPh>
    <phoneticPr fontId="2"/>
  </si>
  <si>
    <t>56歳</t>
    <rPh sb="2" eb="3">
      <t>サイ</t>
    </rPh>
    <phoneticPr fontId="2"/>
  </si>
  <si>
    <t>57歳</t>
    <rPh sb="2" eb="3">
      <t>サイ</t>
    </rPh>
    <phoneticPr fontId="2"/>
  </si>
  <si>
    <t>58歳</t>
    <rPh sb="2" eb="3">
      <t>サイ</t>
    </rPh>
    <phoneticPr fontId="2"/>
  </si>
  <si>
    <t>59歳</t>
    <rPh sb="2" eb="3">
      <t>サイ</t>
    </rPh>
    <phoneticPr fontId="2"/>
  </si>
  <si>
    <t>60歳</t>
    <rPh sb="2" eb="3">
      <t>サイ</t>
    </rPh>
    <phoneticPr fontId="2"/>
  </si>
  <si>
    <t>61歳</t>
    <rPh sb="2" eb="3">
      <t>サイ</t>
    </rPh>
    <phoneticPr fontId="2"/>
  </si>
  <si>
    <t>62歳</t>
    <rPh sb="2" eb="3">
      <t>サイ</t>
    </rPh>
    <phoneticPr fontId="2"/>
  </si>
  <si>
    <t>63歳</t>
    <rPh sb="2" eb="3">
      <t>サイ</t>
    </rPh>
    <phoneticPr fontId="2"/>
  </si>
  <si>
    <t>64歳</t>
    <rPh sb="2" eb="3">
      <t>サイ</t>
    </rPh>
    <phoneticPr fontId="2"/>
  </si>
  <si>
    <t>65歳</t>
    <rPh sb="2" eb="3">
      <t>サイ</t>
    </rPh>
    <phoneticPr fontId="2"/>
  </si>
  <si>
    <t>その他</t>
    <rPh sb="2" eb="3">
      <t>タ</t>
    </rPh>
    <phoneticPr fontId="2"/>
  </si>
  <si>
    <t>移動日当</t>
    <rPh sb="0" eb="4">
      <t>イドウニットウ</t>
    </rPh>
    <phoneticPr fontId="2"/>
  </si>
  <si>
    <t>新幹線</t>
    <rPh sb="0" eb="3">
      <t>シンカンセン</t>
    </rPh>
    <phoneticPr fontId="2"/>
  </si>
  <si>
    <t>電車</t>
    <rPh sb="0" eb="2">
      <t>デンシャ</t>
    </rPh>
    <phoneticPr fontId="2"/>
  </si>
  <si>
    <t>名古屋</t>
    <rPh sb="0" eb="3">
      <t>ナゴヤ</t>
    </rPh>
    <phoneticPr fontId="2"/>
  </si>
  <si>
    <t>静岡</t>
    <rPh sb="0" eb="2">
      <t>シズオカ</t>
    </rPh>
    <phoneticPr fontId="2"/>
  </si>
  <si>
    <t>金額</t>
    <rPh sb="0" eb="2">
      <t>キンガク</t>
    </rPh>
    <phoneticPr fontId="2"/>
  </si>
  <si>
    <t>支払金額</t>
    <rPh sb="0" eb="2">
      <t>シハラ</t>
    </rPh>
    <rPh sb="2" eb="4">
      <t>キンガク</t>
    </rPh>
    <phoneticPr fontId="2"/>
  </si>
  <si>
    <t>出張</t>
    <rPh sb="0" eb="2">
      <t>シュッチョウ</t>
    </rPh>
    <phoneticPr fontId="2"/>
  </si>
  <si>
    <t>広島</t>
    <rPh sb="0" eb="2">
      <t>ヒロシマ</t>
    </rPh>
    <phoneticPr fontId="2"/>
  </si>
  <si>
    <t>宿泊日当</t>
    <rPh sb="0" eb="2">
      <t>シュクハク</t>
    </rPh>
    <rPh sb="2" eb="4">
      <t>ニットウ</t>
    </rPh>
    <phoneticPr fontId="2"/>
  </si>
  <si>
    <t>宿泊</t>
    <rPh sb="0" eb="2">
      <t>シュクハク</t>
    </rPh>
    <phoneticPr fontId="2"/>
  </si>
  <si>
    <t>通勤</t>
    <rPh sb="0" eb="2">
      <t>ツウキン</t>
    </rPh>
    <phoneticPr fontId="2"/>
  </si>
  <si>
    <t>玉川事業場</t>
    <rPh sb="0" eb="5">
      <t>タマガワジギョウジョウ</t>
    </rPh>
    <phoneticPr fontId="2"/>
  </si>
  <si>
    <t>その他</t>
    <rPh sb="2" eb="3">
      <t>タ</t>
    </rPh>
    <phoneticPr fontId="2"/>
  </si>
  <si>
    <t>子ども・子育て支援金</t>
    <rPh sb="0" eb="1">
      <t>コ</t>
    </rPh>
    <rPh sb="4" eb="6">
      <t>コソダ</t>
    </rPh>
    <rPh sb="7" eb="10">
      <t>シエンキン</t>
    </rPh>
    <phoneticPr fontId="2"/>
  </si>
  <si>
    <t>謎課税</t>
    <rPh sb="0" eb="3">
      <t>ナゾカゼイ</t>
    </rPh>
    <phoneticPr fontId="2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</si>
</sst>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0" fontId="0" fillId="0" borderId="0" xfId="0" applyNumberFormat="1">
      <alignment vertical="center"/>
    </xf>
    <xf numFmtId="9" fontId="0" fillId="0" borderId="0" xfId="2" applyNumberFormat="1" applyFont="1">
      <alignment vertical="center"/>
    </xf>
    <xf numFmtId="14" fontId="0" fillId="0" borderId="0" xfId="0" applyNumberForma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W142"/>
  <sheetViews>
    <sheetView tabSelected="1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J138" sqref="J138"/>
    </sheetView>
  </sheetViews>
  <sheetFormatPr defaultRowHeight="13.5"/>
  <cols>
    <col min="3" max="13" width="9" style="1"/>
    <col min="14" max="14" width="7.875" style="1" bestFit="1" customWidth="1"/>
    <col min="15" max="17" width="7.875" style="1" customWidth="1"/>
    <col min="18" max="29" width="9" style="1"/>
    <col min="30" max="30" width="10.25" style="1" bestFit="1" customWidth="1"/>
    <col min="31" max="33" width="9" style="1"/>
    <col min="34" max="34" width="9.25" style="1" bestFit="1" customWidth="1"/>
    <col min="35" max="42" width="9" style="1"/>
    <col min="43" max="43" width="9.25" style="1" bestFit="1" customWidth="1"/>
    <col min="44" max="44" width="10.25" style="1" bestFit="1" customWidth="1"/>
    <col min="45" max="45" width="9" style="1"/>
    <col min="46" max="46" width="9.25" style="1" bestFit="1" customWidth="1"/>
    <col min="47" max="47" width="10.125" style="1" customWidth="1"/>
    <col min="48" max="49" width="9" style="1"/>
  </cols>
  <sheetData>
    <row r="1" spans="1:4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37</v>
      </c>
      <c r="I1" s="1" t="s">
        <v>6</v>
      </c>
      <c r="J1" s="1" t="s">
        <v>7</v>
      </c>
      <c r="K1" s="1" t="s">
        <v>8</v>
      </c>
      <c r="L1" s="1" t="s">
        <v>38</v>
      </c>
      <c r="M1" s="1" t="s">
        <v>39</v>
      </c>
      <c r="N1" s="1" t="s">
        <v>9</v>
      </c>
      <c r="O1" s="1" t="s">
        <v>122</v>
      </c>
      <c r="P1" s="1" t="s">
        <v>136</v>
      </c>
      <c r="Q1" s="1" t="s">
        <v>138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137</v>
      </c>
      <c r="X1" s="1" t="s">
        <v>15</v>
      </c>
      <c r="Y1" s="1" t="s">
        <v>16</v>
      </c>
      <c r="Z1" s="1" t="s">
        <v>17</v>
      </c>
      <c r="AA1" s="1" t="s">
        <v>35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11</v>
      </c>
      <c r="AL1" s="1" t="s">
        <v>27</v>
      </c>
      <c r="AM1" s="1" t="s">
        <v>28</v>
      </c>
      <c r="AN1" s="1" t="s">
        <v>14</v>
      </c>
      <c r="AP1" s="1" t="s">
        <v>15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</row>
    <row r="2" spans="1:49">
      <c r="A2">
        <v>2015</v>
      </c>
      <c r="B2">
        <v>4</v>
      </c>
      <c r="C2" s="1">
        <f>D2+E2</f>
        <v>212684</v>
      </c>
      <c r="D2" s="1">
        <f>F2-R2</f>
        <v>212684</v>
      </c>
      <c r="F2" s="1">
        <f t="shared" ref="F2:F65" si="0">SUM(I2:P2)</f>
        <v>233000</v>
      </c>
      <c r="G2" s="1">
        <f t="shared" ref="G2:G65" si="1">SUM(I2:O2)-N2-M2</f>
        <v>233000</v>
      </c>
      <c r="H2" s="1">
        <f t="shared" ref="H2:H65" si="2">SUM(I2:O2)-SUM(K2:K2)+Q2</f>
        <v>233000</v>
      </c>
      <c r="I2" s="1">
        <v>233000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f>SUM(S2:AE2)</f>
        <v>20316</v>
      </c>
      <c r="S2" s="1">
        <f>FLOOR((G2)*IF(B2&lt;=3,VLOOKUP(A2-1,割合!A:B,2,FALSE),VLOOKUP(A2,割合!A:B,2,FALSE)),1)</f>
        <v>1165</v>
      </c>
      <c r="T2" s="1">
        <v>0</v>
      </c>
      <c r="U2" s="1">
        <v>0</v>
      </c>
      <c r="V2" s="1">
        <v>0</v>
      </c>
      <c r="W2" s="1">
        <v>0</v>
      </c>
      <c r="X2" s="1">
        <v>5900</v>
      </c>
      <c r="Y2" s="1">
        <v>0</v>
      </c>
      <c r="Z2" s="1">
        <v>2190</v>
      </c>
      <c r="AA2" s="1">
        <v>0</v>
      </c>
      <c r="AB2" s="1">
        <v>0</v>
      </c>
      <c r="AC2" s="1">
        <v>0</v>
      </c>
      <c r="AD2" s="1">
        <v>10700</v>
      </c>
      <c r="AE2" s="1">
        <v>361</v>
      </c>
    </row>
    <row r="3" spans="1:49">
      <c r="A3">
        <v>2015</v>
      </c>
      <c r="B3">
        <v>5</v>
      </c>
      <c r="C3" s="1">
        <f t="shared" ref="C3:C10" si="3">D3+E3</f>
        <v>184848</v>
      </c>
      <c r="D3" s="1">
        <f>F3-R3</f>
        <v>184848</v>
      </c>
      <c r="F3" s="1">
        <f t="shared" si="0"/>
        <v>233000</v>
      </c>
      <c r="G3" s="1">
        <f t="shared" si="1"/>
        <v>233000</v>
      </c>
      <c r="H3" s="1">
        <f t="shared" si="2"/>
        <v>233000</v>
      </c>
      <c r="I3" s="1">
        <f>I2</f>
        <v>233000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f t="shared" ref="R3:R10" si="4">SUM(S3:AE3)</f>
        <v>48152</v>
      </c>
      <c r="S3" s="1">
        <f>FLOOR((G3)*IF(B3&lt;=3,VLOOKUP(A3-1,割合!A:B,2,FALSE),VLOOKUP(A3,割合!A:B,2,FALSE)),1)</f>
        <v>1165</v>
      </c>
      <c r="T3" s="1">
        <v>20968</v>
      </c>
      <c r="U3" s="1">
        <v>5298</v>
      </c>
      <c r="V3" s="1">
        <v>3870</v>
      </c>
      <c r="W3" s="1">
        <v>0</v>
      </c>
      <c r="X3" s="1">
        <v>4820</v>
      </c>
      <c r="Y3" s="1">
        <f t="shared" ref="Y3:Y15" si="5">Y2</f>
        <v>0</v>
      </c>
      <c r="Z3" s="1">
        <f t="shared" ref="Z3:Z7" si="6">Z2</f>
        <v>2190</v>
      </c>
      <c r="AA3" s="1">
        <v>100</v>
      </c>
      <c r="AB3" s="1">
        <f>AB2</f>
        <v>0</v>
      </c>
      <c r="AC3" s="1">
        <v>0</v>
      </c>
      <c r="AD3" s="1">
        <f>AD2</f>
        <v>10700</v>
      </c>
      <c r="AE3" s="1">
        <f>-10200+9241</f>
        <v>-959</v>
      </c>
    </row>
    <row r="4" spans="1:49">
      <c r="A4">
        <v>2015</v>
      </c>
      <c r="B4">
        <v>6</v>
      </c>
      <c r="C4" s="1">
        <f t="shared" si="3"/>
        <v>282154</v>
      </c>
      <c r="D4" s="1">
        <f>F4-R4</f>
        <v>177913</v>
      </c>
      <c r="E4" s="1">
        <f>AF4-AJ4</f>
        <v>104241</v>
      </c>
      <c r="F4" s="1">
        <f t="shared" si="0"/>
        <v>233000</v>
      </c>
      <c r="G4" s="1">
        <f t="shared" si="1"/>
        <v>233000</v>
      </c>
      <c r="H4" s="1">
        <f t="shared" si="2"/>
        <v>233000</v>
      </c>
      <c r="I4" s="1">
        <f t="shared" ref="I4:I25" si="7">I3</f>
        <v>233000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f t="shared" si="4"/>
        <v>55087</v>
      </c>
      <c r="S4" s="1">
        <f>FLOOR((G4)*IF(B4&lt;=3,VLOOKUP(A4-1,割合!A:B,2,FALSE),VLOOKUP(A4,割合!A:B,2,FALSE)),1)</f>
        <v>1165</v>
      </c>
      <c r="T4" s="1">
        <f t="shared" ref="T4:T7" si="8">T3</f>
        <v>20968</v>
      </c>
      <c r="U4" s="1">
        <f>U3</f>
        <v>5298</v>
      </c>
      <c r="V4" s="1">
        <f>V3</f>
        <v>3870</v>
      </c>
      <c r="W4" s="1">
        <v>0</v>
      </c>
      <c r="X4" s="1">
        <v>4820</v>
      </c>
      <c r="Y4" s="1">
        <f t="shared" si="5"/>
        <v>0</v>
      </c>
      <c r="Z4" s="1">
        <f t="shared" si="6"/>
        <v>2190</v>
      </c>
      <c r="AA4" s="1">
        <f t="shared" ref="AA4:AA67" si="9">AA3</f>
        <v>100</v>
      </c>
      <c r="AB4" s="1">
        <v>1350</v>
      </c>
      <c r="AC4" s="1">
        <v>606</v>
      </c>
      <c r="AD4" s="1">
        <f>AD3</f>
        <v>10700</v>
      </c>
      <c r="AE4" s="1">
        <f>4020</f>
        <v>4020</v>
      </c>
      <c r="AF4" s="1">
        <f>SUM(AG4:AI4)</f>
        <v>125000</v>
      </c>
      <c r="AG4" s="1">
        <v>125000</v>
      </c>
      <c r="AH4" s="1">
        <v>0</v>
      </c>
      <c r="AI4" s="1">
        <v>0</v>
      </c>
      <c r="AJ4" s="1">
        <f>SUM(AK4:AP4)</f>
        <v>20759</v>
      </c>
      <c r="AK4" s="1">
        <f>FLOOR(AF4*VLOOKUP(A4,割合!A:B,2,FALSE),1)</f>
        <v>625</v>
      </c>
      <c r="AL4" s="1">
        <v>10921</v>
      </c>
      <c r="AM4" s="1">
        <v>2760</v>
      </c>
      <c r="AN4" s="1">
        <v>2015</v>
      </c>
      <c r="AO4" s="1">
        <v>0</v>
      </c>
      <c r="AP4" s="1">
        <v>4438</v>
      </c>
    </row>
    <row r="5" spans="1:49">
      <c r="A5">
        <v>2015</v>
      </c>
      <c r="B5">
        <v>7</v>
      </c>
      <c r="C5" s="1">
        <f t="shared" si="3"/>
        <v>198498</v>
      </c>
      <c r="D5" s="1">
        <f>F5-R5</f>
        <v>198498</v>
      </c>
      <c r="F5" s="1">
        <f t="shared" si="0"/>
        <v>242731</v>
      </c>
      <c r="G5" s="1">
        <f t="shared" si="1"/>
        <v>242731</v>
      </c>
      <c r="H5" s="1">
        <f t="shared" si="2"/>
        <v>242731</v>
      </c>
      <c r="I5" s="1">
        <f t="shared" si="7"/>
        <v>233000</v>
      </c>
      <c r="J5" s="1">
        <v>9731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f t="shared" si="4"/>
        <v>44233</v>
      </c>
      <c r="S5" s="1">
        <f>FLOOR((G5)*IF(B5&lt;=3,VLOOKUP(A5-1,割合!A:B,2,FALSE),VLOOKUP(A5,割合!A:B,2,FALSE)),1)</f>
        <v>1213</v>
      </c>
      <c r="T5" s="1">
        <f t="shared" si="8"/>
        <v>20968</v>
      </c>
      <c r="U5" s="1">
        <f t="shared" ref="U5:U10" si="10">U4</f>
        <v>5298</v>
      </c>
      <c r="V5" s="1">
        <f t="shared" ref="V5:V10" si="11">V4</f>
        <v>3870</v>
      </c>
      <c r="W5" s="1">
        <v>0</v>
      </c>
      <c r="X5" s="1">
        <v>5170</v>
      </c>
      <c r="Y5" s="1">
        <f t="shared" si="5"/>
        <v>0</v>
      </c>
      <c r="Z5" s="1">
        <f t="shared" si="6"/>
        <v>2190</v>
      </c>
      <c r="AA5" s="1">
        <f t="shared" si="9"/>
        <v>100</v>
      </c>
      <c r="AB5" s="1">
        <f>AB4</f>
        <v>1350</v>
      </c>
      <c r="AC5" s="1">
        <v>0</v>
      </c>
      <c r="AD5" s="1">
        <v>0</v>
      </c>
      <c r="AE5" s="1">
        <f>4074</f>
        <v>4074</v>
      </c>
    </row>
    <row r="6" spans="1:49">
      <c r="A6">
        <v>2015</v>
      </c>
      <c r="B6">
        <v>8</v>
      </c>
      <c r="C6" s="1">
        <f t="shared" si="3"/>
        <v>130530</v>
      </c>
      <c r="D6" s="1">
        <f>F6-R6</f>
        <v>130530</v>
      </c>
      <c r="F6" s="1">
        <f t="shared" si="0"/>
        <v>259680</v>
      </c>
      <c r="G6" s="1">
        <f t="shared" si="1"/>
        <v>259680</v>
      </c>
      <c r="H6" s="1">
        <f t="shared" si="2"/>
        <v>233000</v>
      </c>
      <c r="I6" s="1">
        <f t="shared" si="7"/>
        <v>233000</v>
      </c>
      <c r="J6" s="1">
        <v>0</v>
      </c>
      <c r="K6" s="1">
        <v>26680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f t="shared" si="4"/>
        <v>129150</v>
      </c>
      <c r="S6" s="1">
        <f>FLOOR((G6)*IF(B6&lt;=3,VLOOKUP(A6-1,割合!A:B,2,FALSE),VLOOKUP(A6,割合!A:B,2,FALSE)),1)</f>
        <v>1298</v>
      </c>
      <c r="T6" s="1">
        <f t="shared" si="8"/>
        <v>20968</v>
      </c>
      <c r="U6" s="1">
        <f t="shared" si="10"/>
        <v>5298</v>
      </c>
      <c r="V6" s="1">
        <f t="shared" si="11"/>
        <v>3870</v>
      </c>
      <c r="W6" s="1">
        <v>0</v>
      </c>
      <c r="X6" s="1">
        <v>4820</v>
      </c>
      <c r="Y6" s="1">
        <f t="shared" si="5"/>
        <v>0</v>
      </c>
      <c r="Z6" s="1">
        <f t="shared" si="6"/>
        <v>2190</v>
      </c>
      <c r="AA6" s="1">
        <f t="shared" si="9"/>
        <v>100</v>
      </c>
      <c r="AB6" s="1">
        <f t="shared" ref="AB6:AB10" si="12">AB5</f>
        <v>1350</v>
      </c>
      <c r="AC6" s="1">
        <v>0</v>
      </c>
      <c r="AD6" s="1">
        <v>28670</v>
      </c>
      <c r="AE6" s="1">
        <f>28186+32400</f>
        <v>60586</v>
      </c>
    </row>
    <row r="7" spans="1:49">
      <c r="A7">
        <v>2015</v>
      </c>
      <c r="B7">
        <v>9</v>
      </c>
      <c r="C7" s="1">
        <f t="shared" si="3"/>
        <v>164569</v>
      </c>
      <c r="D7" s="1">
        <f>F7-R7</f>
        <v>164569</v>
      </c>
      <c r="F7" s="1">
        <f t="shared" si="0"/>
        <v>233000</v>
      </c>
      <c r="G7" s="1">
        <f t="shared" si="1"/>
        <v>233000</v>
      </c>
      <c r="H7" s="1">
        <f t="shared" si="2"/>
        <v>233000</v>
      </c>
      <c r="I7" s="1">
        <f t="shared" si="7"/>
        <v>233000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f t="shared" si="4"/>
        <v>68431</v>
      </c>
      <c r="S7" s="1">
        <f>FLOOR((G7)*IF(B7&lt;=3,VLOOKUP(A7-1,割合!A:B,2,FALSE),VLOOKUP(A7,割合!A:B,2,FALSE)),1)</f>
        <v>1165</v>
      </c>
      <c r="T7" s="1">
        <f t="shared" si="8"/>
        <v>20968</v>
      </c>
      <c r="U7" s="1">
        <f t="shared" si="10"/>
        <v>5298</v>
      </c>
      <c r="V7" s="1">
        <f t="shared" si="11"/>
        <v>3870</v>
      </c>
      <c r="W7" s="1">
        <v>0</v>
      </c>
      <c r="X7" s="1">
        <v>4820</v>
      </c>
      <c r="Y7" s="1">
        <f t="shared" si="5"/>
        <v>0</v>
      </c>
      <c r="Z7" s="1">
        <f t="shared" si="6"/>
        <v>2190</v>
      </c>
      <c r="AA7" s="1">
        <f t="shared" si="9"/>
        <v>100</v>
      </c>
      <c r="AB7" s="1">
        <f t="shared" si="12"/>
        <v>1350</v>
      </c>
      <c r="AC7" s="1">
        <v>0</v>
      </c>
      <c r="AD7" s="1">
        <f t="shared" ref="AD7:AD70" si="13">AD6</f>
        <v>28670</v>
      </c>
      <c r="AE7" s="1">
        <v>0</v>
      </c>
    </row>
    <row r="8" spans="1:49">
      <c r="A8">
        <v>2015</v>
      </c>
      <c r="B8">
        <v>10</v>
      </c>
      <c r="C8" s="1">
        <f t="shared" si="3"/>
        <v>167827</v>
      </c>
      <c r="D8" s="1">
        <f>F8-R8</f>
        <v>167827</v>
      </c>
      <c r="F8" s="1">
        <f t="shared" si="0"/>
        <v>237555</v>
      </c>
      <c r="G8" s="1">
        <f t="shared" si="1"/>
        <v>237555</v>
      </c>
      <c r="H8" s="1">
        <f t="shared" si="2"/>
        <v>237555</v>
      </c>
      <c r="I8" s="1">
        <f t="shared" si="7"/>
        <v>233000</v>
      </c>
      <c r="J8" s="1">
        <v>4555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f t="shared" si="4"/>
        <v>69728</v>
      </c>
      <c r="S8" s="1">
        <f>FLOOR((G8)*IF(B8&lt;=3,VLOOKUP(A8-1,割合!A:B,2,FALSE),VLOOKUP(A8,割合!A:B,2,FALSE)),1)</f>
        <v>1187</v>
      </c>
      <c r="T8" s="1">
        <v>21393</v>
      </c>
      <c r="U8" s="1">
        <f t="shared" si="10"/>
        <v>5298</v>
      </c>
      <c r="V8" s="1">
        <f t="shared" si="11"/>
        <v>3870</v>
      </c>
      <c r="W8" s="1">
        <v>0</v>
      </c>
      <c r="X8" s="1">
        <v>4970</v>
      </c>
      <c r="Y8" s="1">
        <f t="shared" si="5"/>
        <v>0</v>
      </c>
      <c r="Z8" s="1">
        <v>2890</v>
      </c>
      <c r="AA8" s="1">
        <f t="shared" si="9"/>
        <v>100</v>
      </c>
      <c r="AB8" s="1">
        <f t="shared" si="12"/>
        <v>1350</v>
      </c>
      <c r="AC8" s="1">
        <v>0</v>
      </c>
      <c r="AD8" s="1">
        <f t="shared" si="13"/>
        <v>28670</v>
      </c>
      <c r="AE8" s="1">
        <v>0</v>
      </c>
    </row>
    <row r="9" spans="1:49">
      <c r="A9">
        <v>2015</v>
      </c>
      <c r="B9">
        <v>11</v>
      </c>
      <c r="C9" s="1">
        <f t="shared" si="3"/>
        <v>170312</v>
      </c>
      <c r="D9" s="1">
        <f>F9-R9</f>
        <v>170312</v>
      </c>
      <c r="F9" s="1">
        <f t="shared" si="0"/>
        <v>240143</v>
      </c>
      <c r="G9" s="1">
        <f t="shared" si="1"/>
        <v>240143</v>
      </c>
      <c r="H9" s="1">
        <f t="shared" si="2"/>
        <v>240143</v>
      </c>
      <c r="I9" s="1">
        <f t="shared" si="7"/>
        <v>233000</v>
      </c>
      <c r="J9" s="1">
        <v>7143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f t="shared" si="4"/>
        <v>69831</v>
      </c>
      <c r="S9" s="1">
        <f>FLOOR((G9)*IF(B9&lt;=3,VLOOKUP(A9-1,割合!A:B,2,FALSE),VLOOKUP(A9,割合!A:B,2,FALSE)),1)</f>
        <v>1200</v>
      </c>
      <c r="T9" s="1">
        <f>T8</f>
        <v>21393</v>
      </c>
      <c r="U9" s="1">
        <f t="shared" si="10"/>
        <v>5298</v>
      </c>
      <c r="V9" s="1">
        <f t="shared" si="11"/>
        <v>3870</v>
      </c>
      <c r="W9" s="1">
        <v>0</v>
      </c>
      <c r="X9" s="1">
        <v>5060</v>
      </c>
      <c r="Y9" s="1">
        <f t="shared" si="5"/>
        <v>0</v>
      </c>
      <c r="Z9" s="1">
        <f t="shared" ref="Z9:Z13" si="14">Z8</f>
        <v>2890</v>
      </c>
      <c r="AA9" s="1">
        <f t="shared" si="9"/>
        <v>100</v>
      </c>
      <c r="AB9" s="1">
        <f t="shared" si="12"/>
        <v>1350</v>
      </c>
      <c r="AC9" s="1">
        <v>0</v>
      </c>
      <c r="AD9" s="1">
        <f t="shared" si="13"/>
        <v>28670</v>
      </c>
      <c r="AE9" s="1">
        <v>0</v>
      </c>
    </row>
    <row r="10" spans="1:49">
      <c r="A10">
        <v>2015</v>
      </c>
      <c r="B10">
        <v>12</v>
      </c>
      <c r="C10" s="1">
        <f t="shared" si="3"/>
        <v>707563</v>
      </c>
      <c r="D10" s="1">
        <f>F10-R10</f>
        <v>314752</v>
      </c>
      <c r="E10" s="1">
        <f>AF10-AJ10</f>
        <v>392811</v>
      </c>
      <c r="F10" s="1">
        <f t="shared" si="0"/>
        <v>384301</v>
      </c>
      <c r="G10" s="1">
        <f t="shared" si="1"/>
        <v>384301</v>
      </c>
      <c r="H10" s="1">
        <f t="shared" si="2"/>
        <v>384301</v>
      </c>
      <c r="I10" s="1">
        <f t="shared" si="7"/>
        <v>233000</v>
      </c>
      <c r="J10" s="1">
        <v>151301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f t="shared" si="4"/>
        <v>69549</v>
      </c>
      <c r="S10" s="1">
        <f>FLOOR((G10)*IF(B10&lt;=3,VLOOKUP(A10-1,割合!A:B,2,FALSE),VLOOKUP(A10,割合!A:B,2,FALSE)),1)</f>
        <v>1921</v>
      </c>
      <c r="T10" s="1">
        <f>T9</f>
        <v>21393</v>
      </c>
      <c r="U10" s="1">
        <f t="shared" si="10"/>
        <v>5298</v>
      </c>
      <c r="V10" s="1">
        <f t="shared" si="11"/>
        <v>3870</v>
      </c>
      <c r="W10" s="1">
        <v>0</v>
      </c>
      <c r="X10" s="1">
        <v>4057</v>
      </c>
      <c r="Y10" s="1">
        <f t="shared" si="5"/>
        <v>0</v>
      </c>
      <c r="Z10" s="1">
        <f t="shared" si="14"/>
        <v>2890</v>
      </c>
      <c r="AA10" s="1">
        <f t="shared" si="9"/>
        <v>100</v>
      </c>
      <c r="AB10" s="1">
        <f t="shared" si="12"/>
        <v>1350</v>
      </c>
      <c r="AC10" s="1">
        <v>0</v>
      </c>
      <c r="AD10" s="1">
        <f t="shared" si="13"/>
        <v>28670</v>
      </c>
      <c r="AE10" s="1">
        <v>0</v>
      </c>
      <c r="AF10" s="1">
        <f>SUM(AG10:AI10)</f>
        <v>472000</v>
      </c>
      <c r="AG10" s="1">
        <v>250000</v>
      </c>
      <c r="AH10" s="1">
        <v>182000</v>
      </c>
      <c r="AI10" s="1">
        <v>40000</v>
      </c>
      <c r="AJ10" s="1">
        <f>SUM(AK10:AP10)</f>
        <v>79189</v>
      </c>
      <c r="AK10" s="1">
        <f>FLOOR(AF10*VLOOKUP(A10,割合!A:B,2,FALSE),1)</f>
        <v>2360</v>
      </c>
      <c r="AL10" s="1">
        <v>42074</v>
      </c>
      <c r="AM10" s="1">
        <v>10419</v>
      </c>
      <c r="AN10" s="1">
        <v>7611</v>
      </c>
      <c r="AO10" s="1">
        <v>0</v>
      </c>
      <c r="AP10" s="1">
        <v>16725</v>
      </c>
      <c r="AQ10" s="1">
        <f>SUM(H2:H10)+SUM(AF2:AF10)+251628</f>
        <v>3118358</v>
      </c>
      <c r="AT10" s="1">
        <f>SUM(C2:C10)+SUM(AC2:AE10)</f>
        <v>2463123</v>
      </c>
      <c r="AW10" s="3">
        <f>AT10/AQ10</f>
        <v>0.78987819871868459</v>
      </c>
    </row>
    <row r="11" spans="1:49">
      <c r="A11">
        <v>2016</v>
      </c>
      <c r="B11">
        <v>1</v>
      </c>
      <c r="C11" s="1">
        <f t="shared" ref="C11:C13" si="15">D11+E11</f>
        <v>227579</v>
      </c>
      <c r="D11" s="1">
        <f>F11-R11</f>
        <v>227579</v>
      </c>
      <c r="F11" s="1">
        <f t="shared" si="0"/>
        <v>300070</v>
      </c>
      <c r="G11" s="1">
        <f t="shared" si="1"/>
        <v>300070</v>
      </c>
      <c r="H11" s="1">
        <f t="shared" si="2"/>
        <v>300070</v>
      </c>
      <c r="I11" s="1">
        <f t="shared" ref="I11:I13" si="16">I10</f>
        <v>233000</v>
      </c>
      <c r="J11" s="1">
        <v>67070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f t="shared" ref="R11:R13" si="17">SUM(S11:AE11)</f>
        <v>72491</v>
      </c>
      <c r="S11" s="1">
        <f>FLOOR((G11)*IF(B11&lt;=3,VLOOKUP(A11-1,割合!A:B,2,FALSE),VLOOKUP(A11,割合!A:B,2,FALSE)),1)</f>
        <v>1500</v>
      </c>
      <c r="T11" s="1">
        <f t="shared" ref="T11:T13" si="18">T10</f>
        <v>21393</v>
      </c>
      <c r="U11" s="1">
        <f t="shared" ref="U11:U13" si="19">U10</f>
        <v>5298</v>
      </c>
      <c r="V11" s="1">
        <f t="shared" ref="V11:V13" si="20">V10</f>
        <v>3870</v>
      </c>
      <c r="W11" s="1">
        <v>0</v>
      </c>
      <c r="X11" s="1">
        <v>7190</v>
      </c>
      <c r="Y11" s="1">
        <f t="shared" si="5"/>
        <v>0</v>
      </c>
      <c r="Z11" s="1">
        <f t="shared" si="14"/>
        <v>2890</v>
      </c>
      <c r="AA11" s="1">
        <f t="shared" si="9"/>
        <v>100</v>
      </c>
      <c r="AB11" s="1">
        <v>1580</v>
      </c>
      <c r="AC11" s="1">
        <v>0</v>
      </c>
      <c r="AD11" s="1">
        <f t="shared" si="13"/>
        <v>28670</v>
      </c>
      <c r="AE11" s="1">
        <v>0</v>
      </c>
    </row>
    <row r="12" spans="1:49">
      <c r="A12">
        <v>2016</v>
      </c>
      <c r="B12">
        <v>2</v>
      </c>
      <c r="C12" s="1">
        <f t="shared" si="15"/>
        <v>315240</v>
      </c>
      <c r="D12" s="1">
        <f>F12-R12</f>
        <v>315240</v>
      </c>
      <c r="F12" s="1">
        <f t="shared" si="0"/>
        <v>392061</v>
      </c>
      <c r="G12" s="1">
        <f t="shared" si="1"/>
        <v>392061</v>
      </c>
      <c r="H12" s="1">
        <f t="shared" si="2"/>
        <v>365381</v>
      </c>
      <c r="I12" s="1">
        <f t="shared" si="16"/>
        <v>233000</v>
      </c>
      <c r="J12" s="1">
        <v>132381</v>
      </c>
      <c r="K12" s="1">
        <v>26680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f t="shared" si="17"/>
        <v>76821</v>
      </c>
      <c r="S12" s="1">
        <f>FLOOR((G12)*IF(B12&lt;=3,VLOOKUP(A12-1,割合!A:B,2,FALSE),VLOOKUP(A12,割合!A:B,2,FALSE)),1)</f>
        <v>1960</v>
      </c>
      <c r="T12" s="1">
        <f t="shared" si="18"/>
        <v>21393</v>
      </c>
      <c r="U12" s="1">
        <f t="shared" si="19"/>
        <v>5298</v>
      </c>
      <c r="V12" s="1">
        <f t="shared" si="20"/>
        <v>3870</v>
      </c>
      <c r="W12" s="1">
        <v>0</v>
      </c>
      <c r="X12" s="1">
        <v>11060</v>
      </c>
      <c r="Y12" s="1">
        <f t="shared" si="5"/>
        <v>0</v>
      </c>
      <c r="Z12" s="1">
        <f t="shared" si="14"/>
        <v>2890</v>
      </c>
      <c r="AA12" s="1">
        <f t="shared" si="9"/>
        <v>100</v>
      </c>
      <c r="AB12" s="1">
        <f t="shared" ref="AB12:AB75" si="21">AB11</f>
        <v>1580</v>
      </c>
      <c r="AC12" s="1">
        <v>0</v>
      </c>
      <c r="AD12" s="1">
        <f t="shared" si="13"/>
        <v>28670</v>
      </c>
      <c r="AE12" s="1">
        <v>0</v>
      </c>
    </row>
    <row r="13" spans="1:49">
      <c r="A13">
        <v>2016</v>
      </c>
      <c r="B13">
        <v>3</v>
      </c>
      <c r="C13" s="1">
        <f t="shared" si="15"/>
        <v>306070</v>
      </c>
      <c r="D13" s="1">
        <f>F13-R13</f>
        <v>306070</v>
      </c>
      <c r="F13" s="1">
        <f t="shared" si="0"/>
        <v>384413</v>
      </c>
      <c r="G13" s="1">
        <f t="shared" si="1"/>
        <v>384413</v>
      </c>
      <c r="H13" s="1">
        <f t="shared" si="2"/>
        <v>384413</v>
      </c>
      <c r="I13" s="1">
        <f t="shared" si="16"/>
        <v>233000</v>
      </c>
      <c r="J13" s="1">
        <v>151413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f t="shared" si="17"/>
        <v>78343</v>
      </c>
      <c r="S13" s="1">
        <f>FLOOR((G13)*IF(B13&lt;=3,VLOOKUP(A13-1,割合!A:B,2,FALSE),VLOOKUP(A13,割合!A:B,2,FALSE)),1)</f>
        <v>1922</v>
      </c>
      <c r="T13" s="1">
        <f t="shared" si="18"/>
        <v>21393</v>
      </c>
      <c r="U13" s="1">
        <f t="shared" si="19"/>
        <v>5298</v>
      </c>
      <c r="V13" s="1">
        <f t="shared" si="20"/>
        <v>3870</v>
      </c>
      <c r="W13" s="1">
        <v>0</v>
      </c>
      <c r="X13" s="1">
        <v>12620</v>
      </c>
      <c r="Y13" s="1">
        <f t="shared" si="5"/>
        <v>0</v>
      </c>
      <c r="Z13" s="1">
        <f t="shared" si="14"/>
        <v>2890</v>
      </c>
      <c r="AA13" s="1">
        <f t="shared" si="9"/>
        <v>100</v>
      </c>
      <c r="AB13" s="1">
        <f t="shared" si="21"/>
        <v>1580</v>
      </c>
      <c r="AC13" s="1">
        <v>0</v>
      </c>
      <c r="AD13" s="1">
        <f t="shared" si="13"/>
        <v>28670</v>
      </c>
      <c r="AE13" s="1">
        <v>0</v>
      </c>
    </row>
    <row r="14" spans="1:49">
      <c r="A14">
        <v>2016</v>
      </c>
      <c r="B14">
        <v>4</v>
      </c>
      <c r="C14" s="1">
        <f>D14+E14</f>
        <v>255592</v>
      </c>
      <c r="D14" s="1">
        <f>F14-R14</f>
        <v>255592</v>
      </c>
      <c r="F14" s="1">
        <f t="shared" si="0"/>
        <v>329039</v>
      </c>
      <c r="G14" s="1">
        <f t="shared" si="1"/>
        <v>329039</v>
      </c>
      <c r="H14" s="1">
        <f t="shared" si="2"/>
        <v>329039</v>
      </c>
      <c r="I14" s="1">
        <v>240000</v>
      </c>
      <c r="J14" s="1">
        <v>89039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f>SUM(S14:AE14)</f>
        <v>73447</v>
      </c>
      <c r="S14" s="1">
        <f>FLOOR((G14)*IF(B14&lt;=3,VLOOKUP(A14-1,割合!A:B,2,FALSE),VLOOKUP(A14,割合!A:B,2,FALSE)),1)</f>
        <v>1316</v>
      </c>
      <c r="T14" s="1">
        <f t="shared" ref="T14:T25" si="22">T13</f>
        <v>21393</v>
      </c>
      <c r="U14" s="1">
        <f t="shared" ref="U14" si="23">U13</f>
        <v>5298</v>
      </c>
      <c r="V14" s="1">
        <f t="shared" ref="V14" si="24">V13</f>
        <v>3870</v>
      </c>
      <c r="W14" s="1">
        <v>0</v>
      </c>
      <c r="X14" s="1">
        <v>8240</v>
      </c>
      <c r="Y14" s="1">
        <f t="shared" si="5"/>
        <v>0</v>
      </c>
      <c r="Z14" s="1">
        <v>2980</v>
      </c>
      <c r="AA14" s="1">
        <f t="shared" si="9"/>
        <v>100</v>
      </c>
      <c r="AB14" s="1">
        <f t="shared" si="21"/>
        <v>1580</v>
      </c>
      <c r="AC14" s="1">
        <v>0</v>
      </c>
      <c r="AD14" s="1">
        <f t="shared" si="13"/>
        <v>28670</v>
      </c>
      <c r="AE14" s="1">
        <v>0</v>
      </c>
    </row>
    <row r="15" spans="1:49">
      <c r="A15">
        <v>2016</v>
      </c>
      <c r="B15">
        <v>5</v>
      </c>
      <c r="C15" s="1">
        <f t="shared" ref="C15:C25" si="25">D15+E15</f>
        <v>245985</v>
      </c>
      <c r="D15" s="1">
        <f>F15-R15</f>
        <v>245985</v>
      </c>
      <c r="F15" s="1">
        <f t="shared" si="0"/>
        <v>319032</v>
      </c>
      <c r="G15" s="1">
        <f t="shared" si="1"/>
        <v>319032</v>
      </c>
      <c r="H15" s="1">
        <f t="shared" si="2"/>
        <v>319032</v>
      </c>
      <c r="I15" s="1">
        <f t="shared" si="7"/>
        <v>240000</v>
      </c>
      <c r="J15" s="1">
        <v>79032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f t="shared" ref="R15:R25" si="26">SUM(S15:AE15)</f>
        <v>73047</v>
      </c>
      <c r="S15" s="1">
        <f>FLOOR((G15)*IF(B15&lt;=3,VLOOKUP(A15-1,割合!A:B,2,FALSE),VLOOKUP(A15,割合!A:B,2,FALSE)),1)</f>
        <v>1276</v>
      </c>
      <c r="T15" s="1">
        <f t="shared" si="22"/>
        <v>21393</v>
      </c>
      <c r="U15" s="1">
        <v>5286</v>
      </c>
      <c r="V15" s="1">
        <v>3882</v>
      </c>
      <c r="W15" s="1">
        <v>0</v>
      </c>
      <c r="X15" s="1">
        <v>7880</v>
      </c>
      <c r="Y15" s="1">
        <f t="shared" si="5"/>
        <v>0</v>
      </c>
      <c r="Z15" s="1">
        <f t="shared" ref="Z15:Z78" si="27">Z14</f>
        <v>2980</v>
      </c>
      <c r="AA15" s="1">
        <f t="shared" si="9"/>
        <v>100</v>
      </c>
      <c r="AB15" s="1">
        <f t="shared" si="21"/>
        <v>1580</v>
      </c>
      <c r="AC15" s="1">
        <v>0</v>
      </c>
      <c r="AD15" s="1">
        <f t="shared" si="13"/>
        <v>28670</v>
      </c>
      <c r="AE15" s="1">
        <v>0</v>
      </c>
    </row>
    <row r="16" spans="1:49">
      <c r="A16">
        <v>2016</v>
      </c>
      <c r="B16">
        <v>6</v>
      </c>
      <c r="C16" s="1">
        <f t="shared" si="25"/>
        <v>633238</v>
      </c>
      <c r="D16" s="1">
        <f>F16-R16</f>
        <v>230406</v>
      </c>
      <c r="E16" s="1">
        <f>AF16-AJ16</f>
        <v>402832</v>
      </c>
      <c r="F16" s="1">
        <f t="shared" si="0"/>
        <v>315408</v>
      </c>
      <c r="G16" s="1">
        <f t="shared" si="1"/>
        <v>315408</v>
      </c>
      <c r="H16" s="1">
        <f t="shared" si="2"/>
        <v>315408</v>
      </c>
      <c r="I16" s="1">
        <f t="shared" si="7"/>
        <v>240000</v>
      </c>
      <c r="J16" s="1">
        <v>75408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f t="shared" si="26"/>
        <v>85002</v>
      </c>
      <c r="S16" s="1">
        <f>FLOOR((G16)*IF(B16&lt;=3,VLOOKUP(A16-1,割合!A:B,2,FALSE),VLOOKUP(A16,割合!A:B,2,FALSE)),1)</f>
        <v>1261</v>
      </c>
      <c r="T16" s="1">
        <f t="shared" si="22"/>
        <v>21393</v>
      </c>
      <c r="U16" s="1">
        <f>U15</f>
        <v>5286</v>
      </c>
      <c r="V16" s="1">
        <f>V15</f>
        <v>3882</v>
      </c>
      <c r="W16" s="1">
        <v>0</v>
      </c>
      <c r="X16" s="1">
        <v>7750</v>
      </c>
      <c r="Y16" s="1">
        <v>12100</v>
      </c>
      <c r="Z16" s="1">
        <f t="shared" si="27"/>
        <v>2980</v>
      </c>
      <c r="AA16" s="1">
        <f t="shared" si="9"/>
        <v>100</v>
      </c>
      <c r="AB16" s="1">
        <f t="shared" si="21"/>
        <v>1580</v>
      </c>
      <c r="AC16" s="1">
        <v>0</v>
      </c>
      <c r="AD16" s="1">
        <f t="shared" si="13"/>
        <v>28670</v>
      </c>
      <c r="AE16" s="1">
        <v>0</v>
      </c>
      <c r="AF16" s="1">
        <f>SUM(AG16:AI16)</f>
        <v>494000</v>
      </c>
      <c r="AG16" s="1">
        <v>250000</v>
      </c>
      <c r="AH16" s="1">
        <v>244000</v>
      </c>
      <c r="AI16" s="1">
        <v>0</v>
      </c>
      <c r="AJ16" s="1">
        <f>SUM(AK16:AP16)</f>
        <v>91168</v>
      </c>
      <c r="AK16" s="1">
        <f>FLOOR(AF16*VLOOKUP(A16,割合!A:B,2,FALSE),1)</f>
        <v>1976</v>
      </c>
      <c r="AL16" s="1">
        <v>44035</v>
      </c>
      <c r="AM16" s="1">
        <v>10879</v>
      </c>
      <c r="AN16" s="1">
        <v>7991</v>
      </c>
      <c r="AO16" s="1">
        <v>0</v>
      </c>
      <c r="AP16" s="1">
        <v>26287</v>
      </c>
    </row>
    <row r="17" spans="1:49">
      <c r="A17">
        <v>2016</v>
      </c>
      <c r="B17">
        <v>7</v>
      </c>
      <c r="C17" s="1">
        <f t="shared" si="25"/>
        <v>230209</v>
      </c>
      <c r="D17" s="1">
        <f>F17-R17</f>
        <v>230209</v>
      </c>
      <c r="F17" s="1">
        <f t="shared" si="0"/>
        <v>314367</v>
      </c>
      <c r="G17" s="1">
        <f t="shared" si="1"/>
        <v>314367</v>
      </c>
      <c r="H17" s="1">
        <f t="shared" si="2"/>
        <v>314367</v>
      </c>
      <c r="I17" s="1">
        <f t="shared" si="7"/>
        <v>240000</v>
      </c>
      <c r="J17" s="1">
        <v>74367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f t="shared" si="26"/>
        <v>84158</v>
      </c>
      <c r="S17" s="1">
        <f>FLOOR((G17)*IF(B17&lt;=3,VLOOKUP(A17-1,割合!A:B,2,FALSE),VLOOKUP(A17,割合!A:B,2,FALSE)),1)</f>
        <v>1257</v>
      </c>
      <c r="T17" s="1">
        <f t="shared" si="22"/>
        <v>21393</v>
      </c>
      <c r="U17" s="1">
        <f t="shared" ref="U17:U23" si="28">U16</f>
        <v>5286</v>
      </c>
      <c r="V17" s="1">
        <f t="shared" ref="V17:V23" si="29">V16</f>
        <v>3882</v>
      </c>
      <c r="W17" s="1">
        <v>0</v>
      </c>
      <c r="X17" s="1">
        <v>7710</v>
      </c>
      <c r="Y17" s="1">
        <v>11300</v>
      </c>
      <c r="Z17" s="1">
        <f t="shared" si="27"/>
        <v>2980</v>
      </c>
      <c r="AA17" s="1">
        <f t="shared" si="9"/>
        <v>100</v>
      </c>
      <c r="AB17" s="1">
        <f t="shared" si="21"/>
        <v>1580</v>
      </c>
      <c r="AC17" s="1">
        <v>0</v>
      </c>
      <c r="AD17" s="1">
        <f t="shared" si="13"/>
        <v>28670</v>
      </c>
      <c r="AE17" s="1">
        <v>0</v>
      </c>
    </row>
    <row r="18" spans="1:49">
      <c r="A18">
        <v>2016</v>
      </c>
      <c r="B18">
        <v>8</v>
      </c>
      <c r="C18" s="1">
        <f t="shared" si="25"/>
        <v>253900</v>
      </c>
      <c r="D18" s="1">
        <f>F18-R18</f>
        <v>253900</v>
      </c>
      <c r="F18" s="1">
        <f t="shared" si="0"/>
        <v>348391</v>
      </c>
      <c r="G18" s="1">
        <f t="shared" si="1"/>
        <v>348391</v>
      </c>
      <c r="H18" s="1">
        <f t="shared" si="2"/>
        <v>321711</v>
      </c>
      <c r="I18" s="1">
        <f t="shared" si="7"/>
        <v>240000</v>
      </c>
      <c r="J18" s="1">
        <v>81711</v>
      </c>
      <c r="K18" s="1">
        <v>26680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f t="shared" si="26"/>
        <v>94491</v>
      </c>
      <c r="S18" s="1">
        <f>FLOOR((G18)*IF(B18&lt;=3,VLOOKUP(A18-1,割合!A:B,2,FALSE),VLOOKUP(A18,割合!A:B,2,FALSE)),1)</f>
        <v>1393</v>
      </c>
      <c r="T18" s="1">
        <v>28524</v>
      </c>
      <c r="U18" s="1">
        <v>7048</v>
      </c>
      <c r="V18" s="1">
        <v>5176</v>
      </c>
      <c r="W18" s="1">
        <v>0</v>
      </c>
      <c r="X18" s="1">
        <v>7720</v>
      </c>
      <c r="Y18" s="1">
        <f>Y17</f>
        <v>11300</v>
      </c>
      <c r="Z18" s="1">
        <f t="shared" si="27"/>
        <v>2980</v>
      </c>
      <c r="AA18" s="1">
        <f t="shared" si="9"/>
        <v>100</v>
      </c>
      <c r="AB18" s="1">
        <f t="shared" si="21"/>
        <v>1580</v>
      </c>
      <c r="AC18" s="1">
        <v>0</v>
      </c>
      <c r="AD18" s="1">
        <f t="shared" si="13"/>
        <v>28670</v>
      </c>
      <c r="AE18" s="1">
        <v>0</v>
      </c>
    </row>
    <row r="19" spans="1:49">
      <c r="A19">
        <v>2016</v>
      </c>
      <c r="B19">
        <v>9</v>
      </c>
      <c r="C19" s="1">
        <f t="shared" si="25"/>
        <v>272969</v>
      </c>
      <c r="D19" s="1">
        <f>F19-R19</f>
        <v>272969</v>
      </c>
      <c r="F19" s="1">
        <f t="shared" si="0"/>
        <v>370519</v>
      </c>
      <c r="G19" s="1">
        <f t="shared" si="1"/>
        <v>370519</v>
      </c>
      <c r="H19" s="1">
        <f t="shared" si="2"/>
        <v>370519</v>
      </c>
      <c r="I19" s="1">
        <f t="shared" si="7"/>
        <v>240000</v>
      </c>
      <c r="J19" s="1">
        <v>130519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f t="shared" si="26"/>
        <v>97550</v>
      </c>
      <c r="S19" s="1">
        <f>FLOOR((G19)*IF(B19&lt;=3,VLOOKUP(A19-1,割合!A:B,2,FALSE),VLOOKUP(A19,割合!A:B,2,FALSE)),1)</f>
        <v>1482</v>
      </c>
      <c r="T19" s="1">
        <f t="shared" si="22"/>
        <v>28524</v>
      </c>
      <c r="U19" s="1">
        <f t="shared" si="28"/>
        <v>7048</v>
      </c>
      <c r="V19" s="1">
        <f t="shared" si="29"/>
        <v>5176</v>
      </c>
      <c r="W19" s="1">
        <v>0</v>
      </c>
      <c r="X19" s="1">
        <v>10690</v>
      </c>
      <c r="Y19" s="1">
        <f t="shared" ref="Y19:Y27" si="30">Y18</f>
        <v>11300</v>
      </c>
      <c r="Z19" s="1">
        <f t="shared" si="27"/>
        <v>2980</v>
      </c>
      <c r="AA19" s="1">
        <f t="shared" si="9"/>
        <v>100</v>
      </c>
      <c r="AB19" s="1">
        <f t="shared" si="21"/>
        <v>1580</v>
      </c>
      <c r="AC19" s="1">
        <v>0</v>
      </c>
      <c r="AD19" s="1">
        <f t="shared" si="13"/>
        <v>28670</v>
      </c>
      <c r="AE19" s="1">
        <v>0</v>
      </c>
    </row>
    <row r="20" spans="1:49">
      <c r="A20">
        <v>2016</v>
      </c>
      <c r="B20">
        <v>10</v>
      </c>
      <c r="C20" s="1">
        <f t="shared" si="25"/>
        <v>461559</v>
      </c>
      <c r="D20" s="1">
        <f>F20-R20</f>
        <v>461559</v>
      </c>
      <c r="F20" s="1">
        <f t="shared" si="0"/>
        <v>559411</v>
      </c>
      <c r="G20" s="1">
        <f t="shared" si="1"/>
        <v>559411</v>
      </c>
      <c r="H20" s="1">
        <f t="shared" si="2"/>
        <v>359281</v>
      </c>
      <c r="I20" s="1">
        <f t="shared" si="7"/>
        <v>240000</v>
      </c>
      <c r="J20" s="1">
        <v>119281</v>
      </c>
      <c r="K20" s="1">
        <v>200130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f t="shared" si="26"/>
        <v>97852</v>
      </c>
      <c r="S20" s="1">
        <f>FLOOR((G20)*IF(B20&lt;=3,VLOOKUP(A20-1,割合!A:B,2,FALSE),VLOOKUP(A20,割合!A:B,2,FALSE)),1)</f>
        <v>2237</v>
      </c>
      <c r="T20" s="1">
        <v>29091</v>
      </c>
      <c r="U20" s="1">
        <f t="shared" si="28"/>
        <v>7048</v>
      </c>
      <c r="V20" s="1">
        <f t="shared" si="29"/>
        <v>5176</v>
      </c>
      <c r="W20" s="1">
        <v>0</v>
      </c>
      <c r="X20" s="1">
        <v>9670</v>
      </c>
      <c r="Y20" s="1">
        <f t="shared" si="30"/>
        <v>11300</v>
      </c>
      <c r="Z20" s="1">
        <f t="shared" si="27"/>
        <v>2980</v>
      </c>
      <c r="AA20" s="1">
        <f t="shared" si="9"/>
        <v>100</v>
      </c>
      <c r="AB20" s="1">
        <f t="shared" si="21"/>
        <v>1580</v>
      </c>
      <c r="AC20" s="1">
        <v>0</v>
      </c>
      <c r="AD20" s="1">
        <f t="shared" si="13"/>
        <v>28670</v>
      </c>
      <c r="AE20" s="1">
        <v>0</v>
      </c>
    </row>
    <row r="21" spans="1:49">
      <c r="A21">
        <v>2016</v>
      </c>
      <c r="B21">
        <v>11</v>
      </c>
      <c r="C21" s="1">
        <f t="shared" si="25"/>
        <v>329183</v>
      </c>
      <c r="D21" s="1">
        <f>F21-R21</f>
        <v>329183</v>
      </c>
      <c r="F21" s="1">
        <f t="shared" si="0"/>
        <v>432508</v>
      </c>
      <c r="G21" s="1">
        <f t="shared" si="1"/>
        <v>422508</v>
      </c>
      <c r="H21" s="1">
        <f t="shared" si="2"/>
        <v>432508</v>
      </c>
      <c r="I21" s="1">
        <f t="shared" si="7"/>
        <v>240000</v>
      </c>
      <c r="J21" s="1">
        <v>182508</v>
      </c>
      <c r="K21" s="1">
        <v>0</v>
      </c>
      <c r="L21" s="1">
        <v>0</v>
      </c>
      <c r="M21" s="1">
        <v>0</v>
      </c>
      <c r="N21" s="1">
        <v>10000</v>
      </c>
      <c r="O21" s="1">
        <v>0</v>
      </c>
      <c r="P21" s="1">
        <v>0</v>
      </c>
      <c r="Q21" s="1">
        <v>0</v>
      </c>
      <c r="R21" s="1">
        <f t="shared" si="26"/>
        <v>103325</v>
      </c>
      <c r="S21" s="1">
        <f>FLOOR((G21)*IF(B21&lt;=3,VLOOKUP(A21-1,割合!A:B,2,FALSE),VLOOKUP(A21,割合!A:B,2,FALSE)),1)</f>
        <v>1690</v>
      </c>
      <c r="T21" s="1">
        <f t="shared" si="22"/>
        <v>29091</v>
      </c>
      <c r="U21" s="1">
        <f t="shared" si="28"/>
        <v>7048</v>
      </c>
      <c r="V21" s="1">
        <f t="shared" si="29"/>
        <v>5176</v>
      </c>
      <c r="W21" s="1">
        <v>0</v>
      </c>
      <c r="X21" s="1">
        <v>15690</v>
      </c>
      <c r="Y21" s="1">
        <f t="shared" si="30"/>
        <v>11300</v>
      </c>
      <c r="Z21" s="1">
        <f t="shared" si="27"/>
        <v>2980</v>
      </c>
      <c r="AA21" s="1">
        <f t="shared" si="9"/>
        <v>100</v>
      </c>
      <c r="AB21" s="1">
        <f t="shared" si="21"/>
        <v>1580</v>
      </c>
      <c r="AC21" s="1">
        <v>0</v>
      </c>
      <c r="AD21" s="1">
        <f t="shared" si="13"/>
        <v>28670</v>
      </c>
      <c r="AE21" s="1">
        <v>0</v>
      </c>
    </row>
    <row r="22" spans="1:49">
      <c r="A22">
        <v>2016</v>
      </c>
      <c r="B22">
        <v>12</v>
      </c>
      <c r="C22" s="1">
        <f t="shared" si="25"/>
        <v>620292</v>
      </c>
      <c r="D22" s="1">
        <f>F22-R22</f>
        <v>250601</v>
      </c>
      <c r="E22" s="1">
        <f>AF22-AJ22</f>
        <v>369691</v>
      </c>
      <c r="F22" s="1">
        <f t="shared" si="0"/>
        <v>317490</v>
      </c>
      <c r="G22" s="1">
        <f t="shared" si="1"/>
        <v>317490</v>
      </c>
      <c r="H22" s="1">
        <f t="shared" si="2"/>
        <v>317490</v>
      </c>
      <c r="I22" s="1">
        <f t="shared" si="7"/>
        <v>240000</v>
      </c>
      <c r="J22" s="1">
        <v>77490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f t="shared" si="26"/>
        <v>66889</v>
      </c>
      <c r="S22" s="1">
        <f>FLOOR((G22)*IF(B22&lt;=3,VLOOKUP(A22-1,割合!A:B,2,FALSE),VLOOKUP(A22,割合!A:B,2,FALSE)),1)</f>
        <v>1269</v>
      </c>
      <c r="T22" s="1">
        <f t="shared" si="22"/>
        <v>29091</v>
      </c>
      <c r="U22" s="1">
        <f t="shared" si="28"/>
        <v>7048</v>
      </c>
      <c r="V22" s="1">
        <f t="shared" si="29"/>
        <v>5176</v>
      </c>
      <c r="W22" s="1">
        <v>0</v>
      </c>
      <c r="X22" s="1">
        <v>-20325</v>
      </c>
      <c r="Y22" s="1">
        <f t="shared" si="30"/>
        <v>11300</v>
      </c>
      <c r="Z22" s="1">
        <f t="shared" si="27"/>
        <v>2980</v>
      </c>
      <c r="AA22" s="1">
        <f t="shared" si="9"/>
        <v>100</v>
      </c>
      <c r="AB22" s="1">
        <f t="shared" si="21"/>
        <v>1580</v>
      </c>
      <c r="AC22" s="1">
        <v>0</v>
      </c>
      <c r="AD22" s="1">
        <f t="shared" si="13"/>
        <v>28670</v>
      </c>
      <c r="AE22" s="1">
        <v>0</v>
      </c>
      <c r="AF22" s="1">
        <f>SUM(AG22:AI22)</f>
        <v>486000</v>
      </c>
      <c r="AG22" s="1">
        <v>250000</v>
      </c>
      <c r="AH22" s="1">
        <v>236000</v>
      </c>
      <c r="AI22" s="1">
        <v>0</v>
      </c>
      <c r="AJ22" s="1">
        <f>SUM(AK22:AP22)</f>
        <v>116309</v>
      </c>
      <c r="AK22" s="1">
        <f>FLOOR(AF22*VLOOKUP(A22,割合!A:B,2,FALSE),1)</f>
        <v>1944</v>
      </c>
      <c r="AL22" s="1">
        <v>44182</v>
      </c>
      <c r="AM22" s="1">
        <v>10703</v>
      </c>
      <c r="AN22" s="1">
        <v>7862</v>
      </c>
      <c r="AO22" s="1">
        <v>0</v>
      </c>
      <c r="AP22" s="1">
        <v>51618</v>
      </c>
      <c r="AQ22" s="1">
        <f>SUM(H11:H22)+SUM(AF11:AF22)</f>
        <v>5109219</v>
      </c>
      <c r="AR22" s="1">
        <f>AQ22-AQ10</f>
        <v>1990861</v>
      </c>
      <c r="AS22" s="1">
        <f>AR22/12</f>
        <v>165905.08333333334</v>
      </c>
      <c r="AT22" s="1">
        <f>SUM(C11:C22)+SUM(AC11:AE22)</f>
        <v>4495856</v>
      </c>
      <c r="AU22" s="1">
        <f>AT22-AT10</f>
        <v>2032733</v>
      </c>
      <c r="AV22" s="1">
        <f>AU22/12</f>
        <v>169394.41666666666</v>
      </c>
      <c r="AW22" s="3">
        <f>AT22/AQ22</f>
        <v>0.87994975357290417</v>
      </c>
    </row>
    <row r="23" spans="1:49">
      <c r="A23">
        <f>A11+1</f>
        <v>2017</v>
      </c>
      <c r="B23">
        <f>B11</f>
        <v>1</v>
      </c>
      <c r="C23" s="1">
        <f t="shared" si="25"/>
        <v>212426</v>
      </c>
      <c r="D23" s="1">
        <f>F23-R23</f>
        <v>212426</v>
      </c>
      <c r="F23" s="1">
        <f t="shared" si="0"/>
        <v>306657</v>
      </c>
      <c r="G23" s="1">
        <f t="shared" si="1"/>
        <v>306657</v>
      </c>
      <c r="H23" s="1">
        <f t="shared" si="2"/>
        <v>306657</v>
      </c>
      <c r="I23" s="1">
        <f t="shared" si="7"/>
        <v>240000</v>
      </c>
      <c r="J23" s="1">
        <v>66657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f t="shared" si="26"/>
        <v>94231</v>
      </c>
      <c r="S23" s="1">
        <f>FLOOR((G23)*IF(B23&lt;=3,VLOOKUP(A23-1,割合!A:B,2,FALSE),VLOOKUP(A23,割合!A:B,2,FALSE)),1)</f>
        <v>1226</v>
      </c>
      <c r="T23" s="1">
        <f t="shared" si="22"/>
        <v>29091</v>
      </c>
      <c r="U23" s="1">
        <f t="shared" si="28"/>
        <v>7048</v>
      </c>
      <c r="V23" s="1">
        <f t="shared" si="29"/>
        <v>5176</v>
      </c>
      <c r="W23" s="1">
        <v>0</v>
      </c>
      <c r="X23" s="1">
        <v>7060</v>
      </c>
      <c r="Y23" s="1">
        <f t="shared" si="30"/>
        <v>11300</v>
      </c>
      <c r="Z23" s="1">
        <f t="shared" si="27"/>
        <v>2980</v>
      </c>
      <c r="AA23" s="1">
        <f t="shared" si="9"/>
        <v>100</v>
      </c>
      <c r="AB23" s="1">
        <f t="shared" si="21"/>
        <v>1580</v>
      </c>
      <c r="AC23" s="1">
        <v>0</v>
      </c>
      <c r="AD23" s="1">
        <f t="shared" si="13"/>
        <v>28670</v>
      </c>
      <c r="AE23" s="1">
        <v>0</v>
      </c>
    </row>
    <row r="24" spans="1:49">
      <c r="A24">
        <f t="shared" ref="A24:A87" si="31">A12+1</f>
        <v>2017</v>
      </c>
      <c r="B24">
        <f t="shared" ref="B24:B87" si="32">B12</f>
        <v>2</v>
      </c>
      <c r="C24" s="1">
        <f t="shared" si="25"/>
        <v>232661</v>
      </c>
      <c r="D24" s="1">
        <f>F24-R24</f>
        <v>232661</v>
      </c>
      <c r="F24" s="1">
        <f t="shared" si="0"/>
        <v>327726</v>
      </c>
      <c r="G24" s="1">
        <f t="shared" si="1"/>
        <v>327726</v>
      </c>
      <c r="H24" s="1">
        <f t="shared" si="2"/>
        <v>327726</v>
      </c>
      <c r="I24" s="1">
        <f t="shared" si="7"/>
        <v>240000</v>
      </c>
      <c r="J24" s="1">
        <v>87726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f t="shared" si="26"/>
        <v>95065</v>
      </c>
      <c r="S24" s="1">
        <f>FLOOR((G24)*IF(B24&lt;=3,VLOOKUP(A24-1,割合!A:B,2,FALSE),VLOOKUP(A24,割合!A:B,2,FALSE)),1)</f>
        <v>1310</v>
      </c>
      <c r="T24" s="1">
        <f t="shared" si="22"/>
        <v>29091</v>
      </c>
      <c r="U24" s="1">
        <f t="shared" ref="U24:U86" si="33">U23</f>
        <v>7048</v>
      </c>
      <c r="V24" s="1">
        <f t="shared" ref="V24:V86" si="34">V23</f>
        <v>5176</v>
      </c>
      <c r="W24" s="1">
        <v>0</v>
      </c>
      <c r="X24" s="1">
        <v>7810</v>
      </c>
      <c r="Y24" s="1">
        <f t="shared" si="30"/>
        <v>11300</v>
      </c>
      <c r="Z24" s="1">
        <f t="shared" si="27"/>
        <v>2980</v>
      </c>
      <c r="AA24" s="1">
        <f t="shared" si="9"/>
        <v>100</v>
      </c>
      <c r="AB24" s="1">
        <f t="shared" si="21"/>
        <v>1580</v>
      </c>
      <c r="AC24" s="1">
        <v>0</v>
      </c>
      <c r="AD24" s="1">
        <f t="shared" si="13"/>
        <v>28670</v>
      </c>
      <c r="AE24" s="1">
        <v>0</v>
      </c>
    </row>
    <row r="25" spans="1:49">
      <c r="A25">
        <f t="shared" si="31"/>
        <v>2017</v>
      </c>
      <c r="B25">
        <f t="shared" si="32"/>
        <v>3</v>
      </c>
      <c r="C25" s="1">
        <f t="shared" si="25"/>
        <v>226392</v>
      </c>
      <c r="D25" s="1">
        <f>F25-R25</f>
        <v>226392</v>
      </c>
      <c r="F25" s="1">
        <f t="shared" si="0"/>
        <v>321191</v>
      </c>
      <c r="G25" s="1">
        <f t="shared" si="1"/>
        <v>321191</v>
      </c>
      <c r="H25" s="1">
        <f t="shared" si="2"/>
        <v>321191</v>
      </c>
      <c r="I25" s="1">
        <f t="shared" si="7"/>
        <v>240000</v>
      </c>
      <c r="J25" s="1">
        <v>81191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f t="shared" si="26"/>
        <v>94799</v>
      </c>
      <c r="S25" s="1">
        <f>FLOOR((G25)*IF(B25&lt;=3,VLOOKUP(A25-1,割合!A:B,2,FALSE),VLOOKUP(A25,割合!A:B,2,FALSE)),1)</f>
        <v>1284</v>
      </c>
      <c r="T25" s="1">
        <f t="shared" si="22"/>
        <v>29091</v>
      </c>
      <c r="U25" s="1">
        <f t="shared" si="33"/>
        <v>7048</v>
      </c>
      <c r="V25" s="1">
        <f t="shared" si="34"/>
        <v>5176</v>
      </c>
      <c r="W25" s="1">
        <v>0</v>
      </c>
      <c r="X25" s="1">
        <v>7570</v>
      </c>
      <c r="Y25" s="1">
        <f t="shared" si="30"/>
        <v>11300</v>
      </c>
      <c r="Z25" s="1">
        <f t="shared" si="27"/>
        <v>2980</v>
      </c>
      <c r="AA25" s="1">
        <f t="shared" si="9"/>
        <v>100</v>
      </c>
      <c r="AB25" s="1">
        <f t="shared" si="21"/>
        <v>1580</v>
      </c>
      <c r="AC25" s="1">
        <v>0</v>
      </c>
      <c r="AD25" s="1">
        <f t="shared" si="13"/>
        <v>28670</v>
      </c>
      <c r="AE25" s="1">
        <v>0</v>
      </c>
    </row>
    <row r="26" spans="1:49">
      <c r="A26">
        <f t="shared" si="31"/>
        <v>2017</v>
      </c>
      <c r="B26">
        <f t="shared" si="32"/>
        <v>4</v>
      </c>
      <c r="C26" s="1">
        <f>D26+E26</f>
        <v>469725</v>
      </c>
      <c r="D26" s="1">
        <f>F26-R26</f>
        <v>469725</v>
      </c>
      <c r="F26" s="1">
        <f t="shared" si="0"/>
        <v>566399</v>
      </c>
      <c r="G26" s="1">
        <f t="shared" si="1"/>
        <v>566399</v>
      </c>
      <c r="H26" s="1">
        <f t="shared" si="2"/>
        <v>349989</v>
      </c>
      <c r="I26" s="1">
        <v>246900</v>
      </c>
      <c r="J26" s="1">
        <v>103089</v>
      </c>
      <c r="K26" s="1">
        <v>216410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f>SUM(S26:AE26)</f>
        <v>96674</v>
      </c>
      <c r="S26" s="1">
        <f>FLOOR((G26)*IF(B26&lt;=3,VLOOKUP(A26-1,割合!A:B,2,FALSE),VLOOKUP(A26,割合!A:B,2,FALSE)),1)</f>
        <v>1699</v>
      </c>
      <c r="T26" s="1">
        <f t="shared" ref="T26:T29" si="35">T25</f>
        <v>29091</v>
      </c>
      <c r="U26" s="1">
        <v>7264</v>
      </c>
      <c r="V26" s="1">
        <v>4960</v>
      </c>
      <c r="W26" s="1">
        <v>0</v>
      </c>
      <c r="X26" s="1">
        <v>8950</v>
      </c>
      <c r="Y26" s="1">
        <f t="shared" si="30"/>
        <v>11300</v>
      </c>
      <c r="Z26" s="1">
        <v>3060</v>
      </c>
      <c r="AA26" s="1">
        <f t="shared" si="9"/>
        <v>100</v>
      </c>
      <c r="AB26" s="1">
        <f t="shared" si="21"/>
        <v>1580</v>
      </c>
      <c r="AC26" s="1">
        <v>0</v>
      </c>
      <c r="AD26" s="1">
        <f t="shared" si="13"/>
        <v>28670</v>
      </c>
      <c r="AE26" s="1">
        <v>0</v>
      </c>
    </row>
    <row r="27" spans="1:49">
      <c r="A27">
        <f t="shared" si="31"/>
        <v>2017</v>
      </c>
      <c r="B27">
        <f t="shared" si="32"/>
        <v>5</v>
      </c>
      <c r="C27" s="1">
        <f t="shared" ref="C27:C38" si="36">D27+E27</f>
        <v>273598</v>
      </c>
      <c r="D27" s="1">
        <f>F27-R27</f>
        <v>273598</v>
      </c>
      <c r="F27" s="1">
        <f t="shared" si="0"/>
        <v>371413</v>
      </c>
      <c r="G27" s="1">
        <f t="shared" si="1"/>
        <v>363413</v>
      </c>
      <c r="H27" s="1">
        <f t="shared" si="2"/>
        <v>371413</v>
      </c>
      <c r="I27" s="1">
        <f t="shared" ref="I27:I90" si="37">I26</f>
        <v>246900</v>
      </c>
      <c r="J27" s="1">
        <v>116513</v>
      </c>
      <c r="K27" s="1">
        <v>0</v>
      </c>
      <c r="L27" s="1">
        <v>0</v>
      </c>
      <c r="M27" s="1">
        <v>0</v>
      </c>
      <c r="N27" s="1">
        <v>8000</v>
      </c>
      <c r="O27" s="1">
        <v>0</v>
      </c>
      <c r="P27" s="1">
        <v>0</v>
      </c>
      <c r="Q27" s="1">
        <v>0</v>
      </c>
      <c r="R27" s="1">
        <f t="shared" ref="R27:R38" si="38">SUM(S27:AE27)</f>
        <v>97815</v>
      </c>
      <c r="S27" s="1">
        <f>FLOOR((G27)*IF(B27&lt;=3,VLOOKUP(A27-1,割合!A:B,2,FALSE),VLOOKUP(A27,割合!A:B,2,FALSE)),1)</f>
        <v>1090</v>
      </c>
      <c r="T27" s="1">
        <f t="shared" si="35"/>
        <v>29091</v>
      </c>
      <c r="U27" s="1">
        <f t="shared" si="33"/>
        <v>7264</v>
      </c>
      <c r="V27" s="1">
        <f t="shared" si="34"/>
        <v>4960</v>
      </c>
      <c r="W27" s="1">
        <v>0</v>
      </c>
      <c r="X27" s="1">
        <v>10750</v>
      </c>
      <c r="Y27" s="1">
        <f t="shared" si="30"/>
        <v>11300</v>
      </c>
      <c r="Z27" s="1">
        <f t="shared" si="27"/>
        <v>3060</v>
      </c>
      <c r="AA27" s="1">
        <v>50</v>
      </c>
      <c r="AB27" s="1">
        <f t="shared" si="21"/>
        <v>1580</v>
      </c>
      <c r="AC27" s="1">
        <v>0</v>
      </c>
      <c r="AD27" s="1">
        <f t="shared" si="13"/>
        <v>28670</v>
      </c>
      <c r="AE27" s="1">
        <v>0</v>
      </c>
    </row>
    <row r="28" spans="1:49">
      <c r="A28">
        <f t="shared" si="31"/>
        <v>2017</v>
      </c>
      <c r="B28">
        <f t="shared" si="32"/>
        <v>6</v>
      </c>
      <c r="C28" s="1">
        <f t="shared" si="36"/>
        <v>565961</v>
      </c>
      <c r="D28" s="1">
        <f>F28-R28</f>
        <v>175429</v>
      </c>
      <c r="E28" s="1">
        <f>AF28-AJ28</f>
        <v>390532</v>
      </c>
      <c r="F28" s="1">
        <f t="shared" si="0"/>
        <v>279853</v>
      </c>
      <c r="G28" s="1">
        <f t="shared" si="1"/>
        <v>279853</v>
      </c>
      <c r="H28" s="1">
        <f t="shared" si="2"/>
        <v>279853</v>
      </c>
      <c r="I28" s="1">
        <f t="shared" si="37"/>
        <v>246900</v>
      </c>
      <c r="J28" s="1">
        <v>32953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f t="shared" si="38"/>
        <v>104424</v>
      </c>
      <c r="S28" s="1">
        <f>FLOOR((G28)*IF(B28&lt;=3,VLOOKUP(A28-1,割合!A:B,2,FALSE),VLOOKUP(A28,割合!A:B,2,FALSE)),1)</f>
        <v>839</v>
      </c>
      <c r="T28" s="1">
        <f t="shared" si="35"/>
        <v>29091</v>
      </c>
      <c r="U28" s="1">
        <f t="shared" si="33"/>
        <v>7264</v>
      </c>
      <c r="V28" s="1">
        <f t="shared" si="34"/>
        <v>4960</v>
      </c>
      <c r="W28" s="1">
        <v>0</v>
      </c>
      <c r="X28" s="1">
        <v>6110</v>
      </c>
      <c r="Y28" s="1">
        <v>22800</v>
      </c>
      <c r="Z28" s="1">
        <f t="shared" si="27"/>
        <v>3060</v>
      </c>
      <c r="AA28" s="1">
        <f t="shared" si="9"/>
        <v>50</v>
      </c>
      <c r="AB28" s="1">
        <f t="shared" si="21"/>
        <v>1580</v>
      </c>
      <c r="AC28" s="1">
        <v>0</v>
      </c>
      <c r="AD28" s="1">
        <f t="shared" si="13"/>
        <v>28670</v>
      </c>
      <c r="AE28" s="1">
        <v>0</v>
      </c>
      <c r="AF28" s="1">
        <f>SUM(AG28:AI28)</f>
        <v>490000</v>
      </c>
      <c r="AG28" s="1">
        <v>250000</v>
      </c>
      <c r="AH28" s="1">
        <v>240000</v>
      </c>
      <c r="AJ28" s="1">
        <f>SUM(AK28:AP28)</f>
        <v>99468</v>
      </c>
      <c r="AK28" s="1">
        <f>FLOOR(AF28*VLOOKUP(A28,割合!A:B,2,FALSE),1)</f>
        <v>1470</v>
      </c>
      <c r="AL28" s="1">
        <v>44545</v>
      </c>
      <c r="AM28" s="1">
        <v>11122</v>
      </c>
      <c r="AN28" s="1">
        <v>7596</v>
      </c>
      <c r="AO28" s="1">
        <v>0</v>
      </c>
      <c r="AP28" s="1">
        <v>34735</v>
      </c>
    </row>
    <row r="29" spans="1:49">
      <c r="A29">
        <f t="shared" si="31"/>
        <v>2017</v>
      </c>
      <c r="B29">
        <f t="shared" si="32"/>
        <v>7</v>
      </c>
      <c r="C29" s="1">
        <f t="shared" si="36"/>
        <v>177434</v>
      </c>
      <c r="D29" s="1">
        <f>F29-R29</f>
        <v>177434</v>
      </c>
      <c r="F29" s="1">
        <f t="shared" si="0"/>
        <v>281212</v>
      </c>
      <c r="G29" s="1">
        <f t="shared" si="1"/>
        <v>281212</v>
      </c>
      <c r="H29" s="1">
        <f t="shared" si="2"/>
        <v>281212</v>
      </c>
      <c r="I29" s="1">
        <f t="shared" si="37"/>
        <v>246900</v>
      </c>
      <c r="J29" s="1">
        <v>34312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f t="shared" si="38"/>
        <v>103778</v>
      </c>
      <c r="S29" s="1">
        <f>FLOOR((G29)*IF(B29&lt;=3,VLOOKUP(A29-1,割合!A:B,2,FALSE),VLOOKUP(A29,割合!A:B,2,FALSE)),1)</f>
        <v>843</v>
      </c>
      <c r="T29" s="1">
        <f t="shared" si="35"/>
        <v>29091</v>
      </c>
      <c r="U29" s="1">
        <f t="shared" si="33"/>
        <v>7264</v>
      </c>
      <c r="V29" s="1">
        <f t="shared" si="34"/>
        <v>4960</v>
      </c>
      <c r="W29" s="1">
        <v>0</v>
      </c>
      <c r="X29" s="1">
        <v>6160</v>
      </c>
      <c r="Y29" s="1">
        <v>22100</v>
      </c>
      <c r="Z29" s="1">
        <f t="shared" si="27"/>
        <v>3060</v>
      </c>
      <c r="AA29" s="1">
        <f t="shared" si="9"/>
        <v>50</v>
      </c>
      <c r="AB29" s="1">
        <f t="shared" si="21"/>
        <v>1580</v>
      </c>
      <c r="AC29" s="1">
        <v>0</v>
      </c>
      <c r="AD29" s="1">
        <f t="shared" si="13"/>
        <v>28670</v>
      </c>
      <c r="AE29" s="1">
        <v>0</v>
      </c>
    </row>
    <row r="30" spans="1:49">
      <c r="A30">
        <f t="shared" si="31"/>
        <v>2017</v>
      </c>
      <c r="B30">
        <f t="shared" si="32"/>
        <v>8</v>
      </c>
      <c r="C30" s="1">
        <f t="shared" si="36"/>
        <v>155457</v>
      </c>
      <c r="D30" s="1">
        <f>F30-R30</f>
        <v>155457</v>
      </c>
      <c r="F30" s="1">
        <f t="shared" si="0"/>
        <v>263536</v>
      </c>
      <c r="G30" s="1">
        <f t="shared" si="1"/>
        <v>263536</v>
      </c>
      <c r="H30" s="1">
        <f t="shared" si="2"/>
        <v>263536</v>
      </c>
      <c r="I30" s="1">
        <f t="shared" si="37"/>
        <v>246900</v>
      </c>
      <c r="J30" s="1">
        <v>16636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f t="shared" si="38"/>
        <v>108079</v>
      </c>
      <c r="S30" s="1">
        <f>FLOOR((G30)*IF(B30&lt;=3,VLOOKUP(A30-1,割合!A:B,2,FALSE),VLOOKUP(A30,割合!A:B,2,FALSE)),1)</f>
        <v>790</v>
      </c>
      <c r="T30" s="1">
        <v>32727</v>
      </c>
      <c r="U30" s="1">
        <v>8171</v>
      </c>
      <c r="V30" s="1">
        <v>5581</v>
      </c>
      <c r="W30" s="1">
        <v>0</v>
      </c>
      <c r="X30" s="1">
        <v>5350</v>
      </c>
      <c r="Y30" s="1">
        <f>Y29</f>
        <v>22100</v>
      </c>
      <c r="Z30" s="1">
        <f t="shared" si="27"/>
        <v>3060</v>
      </c>
      <c r="AA30" s="1">
        <f t="shared" si="9"/>
        <v>50</v>
      </c>
      <c r="AB30" s="1">
        <f t="shared" si="21"/>
        <v>1580</v>
      </c>
      <c r="AC30" s="1">
        <v>0</v>
      </c>
      <c r="AD30" s="1">
        <f t="shared" si="13"/>
        <v>28670</v>
      </c>
      <c r="AE30" s="1">
        <v>0</v>
      </c>
    </row>
    <row r="31" spans="1:49">
      <c r="A31">
        <f t="shared" si="31"/>
        <v>2017</v>
      </c>
      <c r="B31">
        <f t="shared" si="32"/>
        <v>9</v>
      </c>
      <c r="C31" s="1">
        <f t="shared" si="36"/>
        <v>163675</v>
      </c>
      <c r="D31" s="1">
        <f>F31-R31</f>
        <v>163675</v>
      </c>
      <c r="F31" s="1">
        <f t="shared" si="0"/>
        <v>272095</v>
      </c>
      <c r="G31" s="1">
        <f t="shared" si="1"/>
        <v>277053</v>
      </c>
      <c r="H31" s="1">
        <f t="shared" si="2"/>
        <v>272095</v>
      </c>
      <c r="I31" s="1">
        <f t="shared" si="37"/>
        <v>246900</v>
      </c>
      <c r="J31" s="1">
        <v>30153</v>
      </c>
      <c r="K31" s="1">
        <v>0</v>
      </c>
      <c r="L31" s="1">
        <v>0</v>
      </c>
      <c r="M31" s="1">
        <v>0</v>
      </c>
      <c r="N31" s="1">
        <v>-4958</v>
      </c>
      <c r="O31" s="1">
        <v>0</v>
      </c>
      <c r="P31" s="1">
        <v>0</v>
      </c>
      <c r="Q31" s="1">
        <v>0</v>
      </c>
      <c r="R31" s="1">
        <f t="shared" si="38"/>
        <v>108420</v>
      </c>
      <c r="S31" s="1">
        <f>FLOOR((G31)*IF(B31&lt;=3,VLOOKUP(A31-1,割合!A:B,2,FALSE),VLOOKUP(A31,割合!A:B,2,FALSE)),1)</f>
        <v>831</v>
      </c>
      <c r="T31" s="1">
        <f t="shared" ref="T31" si="39">T30</f>
        <v>32727</v>
      </c>
      <c r="U31" s="1">
        <f t="shared" si="33"/>
        <v>8171</v>
      </c>
      <c r="V31" s="1">
        <f t="shared" si="34"/>
        <v>5581</v>
      </c>
      <c r="W31" s="1">
        <v>0</v>
      </c>
      <c r="X31" s="1">
        <v>5650</v>
      </c>
      <c r="Y31" s="1">
        <f t="shared" ref="Y31:Y39" si="40">Y30</f>
        <v>22100</v>
      </c>
      <c r="Z31" s="1">
        <f t="shared" si="27"/>
        <v>3060</v>
      </c>
      <c r="AA31" s="1">
        <f t="shared" si="9"/>
        <v>50</v>
      </c>
      <c r="AB31" s="1">
        <f t="shared" si="21"/>
        <v>1580</v>
      </c>
      <c r="AC31" s="1">
        <v>0</v>
      </c>
      <c r="AD31" s="1">
        <f t="shared" si="13"/>
        <v>28670</v>
      </c>
      <c r="AE31" s="1">
        <v>0</v>
      </c>
    </row>
    <row r="32" spans="1:49">
      <c r="A32">
        <f t="shared" si="31"/>
        <v>2017</v>
      </c>
      <c r="B32">
        <f t="shared" si="32"/>
        <v>10</v>
      </c>
      <c r="C32" s="1">
        <f t="shared" si="36"/>
        <v>399184</v>
      </c>
      <c r="D32" s="1">
        <f>F32-R32</f>
        <v>399184</v>
      </c>
      <c r="F32" s="1">
        <f t="shared" si="0"/>
        <v>509223</v>
      </c>
      <c r="G32" s="1">
        <f t="shared" si="1"/>
        <v>509223</v>
      </c>
      <c r="H32" s="1">
        <f t="shared" si="2"/>
        <v>292813</v>
      </c>
      <c r="I32" s="1">
        <f t="shared" si="37"/>
        <v>246900</v>
      </c>
      <c r="J32" s="1">
        <v>45913</v>
      </c>
      <c r="K32" s="1">
        <v>216410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f t="shared" si="38"/>
        <v>110039</v>
      </c>
      <c r="S32" s="1">
        <f>FLOOR((G32)*IF(B32&lt;=3,VLOOKUP(A32-1,割合!A:B,2,FALSE),VLOOKUP(A32,割合!A:B,2,FALSE)),1)</f>
        <v>1527</v>
      </c>
      <c r="T32" s="1">
        <v>32940</v>
      </c>
      <c r="U32" s="1">
        <f t="shared" si="33"/>
        <v>8171</v>
      </c>
      <c r="V32" s="1">
        <f t="shared" si="34"/>
        <v>5581</v>
      </c>
      <c r="W32" s="1">
        <v>0</v>
      </c>
      <c r="X32" s="1">
        <v>6360</v>
      </c>
      <c r="Y32" s="1">
        <f t="shared" si="40"/>
        <v>22100</v>
      </c>
      <c r="Z32" s="1">
        <f t="shared" si="27"/>
        <v>3060</v>
      </c>
      <c r="AA32" s="1">
        <f t="shared" si="9"/>
        <v>50</v>
      </c>
      <c r="AB32" s="1">
        <f t="shared" si="21"/>
        <v>1580</v>
      </c>
      <c r="AC32" s="1">
        <v>0</v>
      </c>
      <c r="AD32" s="1">
        <f t="shared" si="13"/>
        <v>28670</v>
      </c>
      <c r="AE32" s="1">
        <v>0</v>
      </c>
    </row>
    <row r="33" spans="1:49">
      <c r="A33">
        <f t="shared" si="31"/>
        <v>2017</v>
      </c>
      <c r="B33">
        <f t="shared" si="32"/>
        <v>11</v>
      </c>
      <c r="C33" s="1">
        <f t="shared" si="36"/>
        <v>37426</v>
      </c>
      <c r="D33" s="1">
        <f>F33-R33</f>
        <v>37426</v>
      </c>
      <c r="F33" s="1">
        <f t="shared" si="0"/>
        <v>147343</v>
      </c>
      <c r="G33" s="1">
        <f t="shared" si="1"/>
        <v>147343</v>
      </c>
      <c r="H33" s="1">
        <f t="shared" si="2"/>
        <v>278093</v>
      </c>
      <c r="I33" s="1">
        <f t="shared" si="37"/>
        <v>246900</v>
      </c>
      <c r="J33" s="1">
        <v>31193</v>
      </c>
      <c r="K33" s="1">
        <v>-130750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f t="shared" si="38"/>
        <v>109917</v>
      </c>
      <c r="S33" s="1">
        <f>FLOOR((G33)*IF(B33&lt;=3,VLOOKUP(A33-1,割合!A:B,2,FALSE),VLOOKUP(A33,割合!A:B,2,FALSE)),1)</f>
        <v>442</v>
      </c>
      <c r="T33" s="1">
        <f t="shared" ref="T33:T96" si="41">T32</f>
        <v>32940</v>
      </c>
      <c r="U33" s="1">
        <f t="shared" si="33"/>
        <v>8171</v>
      </c>
      <c r="V33" s="1">
        <f t="shared" si="34"/>
        <v>5581</v>
      </c>
      <c r="W33" s="1">
        <v>0</v>
      </c>
      <c r="X33" s="1">
        <v>6660</v>
      </c>
      <c r="Y33" s="1">
        <f t="shared" si="40"/>
        <v>22100</v>
      </c>
      <c r="Z33" s="1">
        <f t="shared" si="27"/>
        <v>3060</v>
      </c>
      <c r="AA33" s="1">
        <f t="shared" si="9"/>
        <v>50</v>
      </c>
      <c r="AB33" s="1">
        <f t="shared" si="21"/>
        <v>1580</v>
      </c>
      <c r="AC33" s="1">
        <v>663</v>
      </c>
      <c r="AD33" s="1">
        <f t="shared" si="13"/>
        <v>28670</v>
      </c>
      <c r="AE33" s="1">
        <v>0</v>
      </c>
    </row>
    <row r="34" spans="1:49">
      <c r="A34">
        <f t="shared" si="31"/>
        <v>2017</v>
      </c>
      <c r="B34">
        <f t="shared" si="32"/>
        <v>12</v>
      </c>
      <c r="C34" s="1">
        <f t="shared" si="36"/>
        <v>588350</v>
      </c>
      <c r="D34" s="1">
        <f>F34-R34</f>
        <v>167423</v>
      </c>
      <c r="E34" s="1">
        <f>AF34-AJ34</f>
        <v>420927</v>
      </c>
      <c r="F34" s="1">
        <f t="shared" si="0"/>
        <v>299410</v>
      </c>
      <c r="G34" s="1">
        <f t="shared" si="1"/>
        <v>299410</v>
      </c>
      <c r="H34" s="1">
        <f t="shared" si="2"/>
        <v>299410</v>
      </c>
      <c r="I34" s="1">
        <f t="shared" si="37"/>
        <v>246900</v>
      </c>
      <c r="J34" s="1">
        <v>52510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f t="shared" si="38"/>
        <v>131987</v>
      </c>
      <c r="S34" s="1">
        <f>FLOOR((G34)*IF(B34&lt;=3,VLOOKUP(A34-1,割合!A:B,2,FALSE),VLOOKUP(A34,割合!A:B,2,FALSE)),1)</f>
        <v>898</v>
      </c>
      <c r="T34" s="1">
        <f t="shared" si="41"/>
        <v>32940</v>
      </c>
      <c r="U34" s="1">
        <f t="shared" si="33"/>
        <v>8171</v>
      </c>
      <c r="V34" s="1">
        <f t="shared" si="34"/>
        <v>5581</v>
      </c>
      <c r="W34" s="1">
        <v>0</v>
      </c>
      <c r="X34" s="1">
        <v>-27633</v>
      </c>
      <c r="Y34" s="1">
        <f t="shared" si="40"/>
        <v>22100</v>
      </c>
      <c r="Z34" s="1">
        <f t="shared" si="27"/>
        <v>3060</v>
      </c>
      <c r="AA34" s="1">
        <f t="shared" si="9"/>
        <v>50</v>
      </c>
      <c r="AB34" s="1">
        <f t="shared" si="21"/>
        <v>1580</v>
      </c>
      <c r="AC34" s="1">
        <v>0</v>
      </c>
      <c r="AD34" s="1">
        <v>45370</v>
      </c>
      <c r="AE34" s="1">
        <v>39870</v>
      </c>
      <c r="AF34" s="1">
        <f>SUM(AG34:AI34)</f>
        <v>517000</v>
      </c>
      <c r="AG34" s="1">
        <v>280000</v>
      </c>
      <c r="AH34" s="1">
        <v>237000</v>
      </c>
      <c r="AJ34" s="1">
        <f>SUM(AK34:AP34)</f>
        <v>96073</v>
      </c>
      <c r="AK34" s="1">
        <f>FLOOR(AF34*VLOOKUP(A34,割合!A:B,2,FALSE),1)</f>
        <v>1551</v>
      </c>
      <c r="AL34" s="1">
        <v>47305</v>
      </c>
      <c r="AM34" s="1">
        <v>11734</v>
      </c>
      <c r="AN34" s="1">
        <v>8015</v>
      </c>
      <c r="AO34" s="1">
        <v>0</v>
      </c>
      <c r="AP34" s="1">
        <v>27468</v>
      </c>
      <c r="AQ34" s="1">
        <f>SUM(H23:H34)+SUM(AF23:AF34)</f>
        <v>4650988</v>
      </c>
      <c r="AR34" s="1">
        <f>AQ34-AQ22</f>
        <v>-458231</v>
      </c>
      <c r="AS34" s="1">
        <f>AR34/12</f>
        <v>-38185.916666666664</v>
      </c>
      <c r="AT34" s="1">
        <f>SUM(C23:C34)+SUM(AC23:AE34)</f>
        <v>3903562</v>
      </c>
      <c r="AU34" s="1">
        <f>AT34-AT22</f>
        <v>-592294</v>
      </c>
      <c r="AV34" s="1">
        <f>AU34/12</f>
        <v>-49357.833333333336</v>
      </c>
      <c r="AW34" s="3">
        <f>AT34/AQ34</f>
        <v>0.83929737079519451</v>
      </c>
    </row>
    <row r="35" spans="1:49">
      <c r="A35">
        <f t="shared" si="31"/>
        <v>2018</v>
      </c>
      <c r="B35">
        <f t="shared" si="32"/>
        <v>1</v>
      </c>
      <c r="C35" s="1">
        <f t="shared" si="36"/>
        <v>178822</v>
      </c>
      <c r="D35" s="1">
        <f>F35-R35</f>
        <v>178822</v>
      </c>
      <c r="F35" s="1">
        <f t="shared" si="0"/>
        <v>305530</v>
      </c>
      <c r="G35" s="1">
        <f t="shared" si="1"/>
        <v>305530</v>
      </c>
      <c r="H35" s="1">
        <f t="shared" si="2"/>
        <v>305530</v>
      </c>
      <c r="I35" s="1">
        <f t="shared" si="37"/>
        <v>246900</v>
      </c>
      <c r="J35" s="1">
        <v>58630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f t="shared" si="38"/>
        <v>126708</v>
      </c>
      <c r="S35" s="1">
        <f>FLOOR((G35)*IF(B35&lt;=3,VLOOKUP(A35-1,割合!A:B,2,FALSE),VLOOKUP(A35,割合!A:B,2,FALSE)),1)</f>
        <v>916</v>
      </c>
      <c r="T35" s="1">
        <f t="shared" si="41"/>
        <v>32940</v>
      </c>
      <c r="U35" s="1">
        <f t="shared" si="33"/>
        <v>8171</v>
      </c>
      <c r="V35" s="1">
        <f t="shared" si="34"/>
        <v>5581</v>
      </c>
      <c r="W35" s="1">
        <v>0</v>
      </c>
      <c r="X35" s="1">
        <v>6830</v>
      </c>
      <c r="Y35" s="1">
        <f t="shared" si="40"/>
        <v>22100</v>
      </c>
      <c r="Z35" s="1">
        <f t="shared" si="27"/>
        <v>3060</v>
      </c>
      <c r="AA35" s="1">
        <f t="shared" si="9"/>
        <v>50</v>
      </c>
      <c r="AB35" s="1">
        <v>1690</v>
      </c>
      <c r="AC35" s="1">
        <v>0</v>
      </c>
      <c r="AD35" s="1">
        <f t="shared" si="13"/>
        <v>45370</v>
      </c>
      <c r="AE35" s="1">
        <v>0</v>
      </c>
    </row>
    <row r="36" spans="1:49">
      <c r="A36">
        <f t="shared" si="31"/>
        <v>2018</v>
      </c>
      <c r="B36">
        <f t="shared" si="32"/>
        <v>2</v>
      </c>
      <c r="C36" s="1">
        <f t="shared" si="36"/>
        <v>195377</v>
      </c>
      <c r="D36" s="1">
        <f>F36-R36</f>
        <v>195377</v>
      </c>
      <c r="F36" s="1">
        <f t="shared" si="0"/>
        <v>325515</v>
      </c>
      <c r="G36" s="1">
        <f t="shared" si="1"/>
        <v>325515</v>
      </c>
      <c r="H36" s="1">
        <f t="shared" si="2"/>
        <v>325515</v>
      </c>
      <c r="I36" s="1">
        <f t="shared" si="37"/>
        <v>246900</v>
      </c>
      <c r="J36" s="1">
        <v>78615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f t="shared" si="38"/>
        <v>130138</v>
      </c>
      <c r="S36" s="1">
        <f>FLOOR((G36)*IF(B36&lt;=3,VLOOKUP(A36-1,割合!A:B,2,FALSE),VLOOKUP(A36,割合!A:B,2,FALSE)),1)</f>
        <v>976</v>
      </c>
      <c r="T36" s="1">
        <f t="shared" si="41"/>
        <v>32940</v>
      </c>
      <c r="U36" s="1">
        <f t="shared" si="33"/>
        <v>8171</v>
      </c>
      <c r="V36" s="1">
        <f t="shared" si="34"/>
        <v>5581</v>
      </c>
      <c r="W36" s="1">
        <v>0</v>
      </c>
      <c r="X36" s="1">
        <v>7550</v>
      </c>
      <c r="Y36" s="1">
        <f t="shared" si="40"/>
        <v>22100</v>
      </c>
      <c r="Z36" s="1">
        <f t="shared" si="27"/>
        <v>3060</v>
      </c>
      <c r="AA36" s="1">
        <f t="shared" si="9"/>
        <v>50</v>
      </c>
      <c r="AB36" s="1">
        <f t="shared" si="21"/>
        <v>1690</v>
      </c>
      <c r="AC36" s="1">
        <v>2650</v>
      </c>
      <c r="AD36" s="1">
        <f t="shared" si="13"/>
        <v>45370</v>
      </c>
      <c r="AE36" s="1">
        <v>0</v>
      </c>
    </row>
    <row r="37" spans="1:49">
      <c r="A37">
        <f t="shared" si="31"/>
        <v>2018</v>
      </c>
      <c r="B37">
        <f t="shared" si="32"/>
        <v>3</v>
      </c>
      <c r="C37" s="1">
        <f t="shared" si="36"/>
        <v>193056</v>
      </c>
      <c r="D37" s="1">
        <f>F37-R37</f>
        <v>193056</v>
      </c>
      <c r="F37" s="1">
        <f t="shared" si="0"/>
        <v>327363</v>
      </c>
      <c r="G37" s="1">
        <f t="shared" si="1"/>
        <v>327363</v>
      </c>
      <c r="H37" s="1">
        <f t="shared" si="2"/>
        <v>327363</v>
      </c>
      <c r="I37" s="1">
        <f t="shared" si="37"/>
        <v>246900</v>
      </c>
      <c r="J37" s="1">
        <v>80463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f t="shared" si="38"/>
        <v>134307</v>
      </c>
      <c r="S37" s="1">
        <f>FLOOR((G37)*IF(B37&lt;=3,VLOOKUP(A37-1,割合!A:B,2,FALSE),VLOOKUP(A37,割合!A:B,2,FALSE)),1)</f>
        <v>982</v>
      </c>
      <c r="T37" s="1">
        <f t="shared" si="41"/>
        <v>32940</v>
      </c>
      <c r="U37" s="1">
        <f t="shared" si="33"/>
        <v>8171</v>
      </c>
      <c r="V37" s="1">
        <f t="shared" si="34"/>
        <v>5581</v>
      </c>
      <c r="W37" s="1">
        <v>0</v>
      </c>
      <c r="X37" s="1">
        <v>7610</v>
      </c>
      <c r="Y37" s="1">
        <f t="shared" si="40"/>
        <v>22100</v>
      </c>
      <c r="Z37" s="1">
        <f t="shared" si="27"/>
        <v>3060</v>
      </c>
      <c r="AA37" s="1">
        <f t="shared" si="9"/>
        <v>50</v>
      </c>
      <c r="AB37" s="1">
        <f t="shared" si="21"/>
        <v>1690</v>
      </c>
      <c r="AC37" s="1">
        <v>6753</v>
      </c>
      <c r="AD37" s="1">
        <f t="shared" si="13"/>
        <v>45370</v>
      </c>
      <c r="AE37" s="1">
        <v>0</v>
      </c>
    </row>
    <row r="38" spans="1:49">
      <c r="A38">
        <f t="shared" si="31"/>
        <v>2018</v>
      </c>
      <c r="B38">
        <f t="shared" si="32"/>
        <v>4</v>
      </c>
      <c r="C38" s="1">
        <f t="shared" si="36"/>
        <v>191807</v>
      </c>
      <c r="D38" s="1">
        <f>F38-R38</f>
        <v>191807</v>
      </c>
      <c r="F38" s="1">
        <f t="shared" si="0"/>
        <v>328632</v>
      </c>
      <c r="G38" s="1">
        <f t="shared" si="1"/>
        <v>328632</v>
      </c>
      <c r="H38" s="1">
        <f t="shared" si="2"/>
        <v>328632</v>
      </c>
      <c r="I38" s="1">
        <v>252130</v>
      </c>
      <c r="J38" s="1">
        <v>76502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f t="shared" si="38"/>
        <v>136825</v>
      </c>
      <c r="S38" s="1">
        <f>FLOOR((G38)*IF(B38&lt;=3,VLOOKUP(A38-1,割合!A:B,2,FALSE),VLOOKUP(A38,割合!A:B,2,FALSE)),1)</f>
        <v>985</v>
      </c>
      <c r="T38" s="1">
        <f t="shared" si="41"/>
        <v>32940</v>
      </c>
      <c r="U38" s="1">
        <v>8208</v>
      </c>
      <c r="V38" s="1">
        <v>5544</v>
      </c>
      <c r="W38" s="1">
        <v>0</v>
      </c>
      <c r="X38" s="1">
        <v>7660</v>
      </c>
      <c r="Y38" s="1">
        <f t="shared" si="40"/>
        <v>22100</v>
      </c>
      <c r="Z38" s="1">
        <v>3120</v>
      </c>
      <c r="AA38" s="1">
        <f t="shared" si="9"/>
        <v>50</v>
      </c>
      <c r="AB38" s="1">
        <f t="shared" si="21"/>
        <v>1690</v>
      </c>
      <c r="AC38" s="1">
        <v>9158</v>
      </c>
      <c r="AD38" s="1">
        <f t="shared" si="13"/>
        <v>45370</v>
      </c>
      <c r="AE38" s="1">
        <v>0</v>
      </c>
    </row>
    <row r="39" spans="1:49">
      <c r="A39">
        <f t="shared" si="31"/>
        <v>2018</v>
      </c>
      <c r="B39">
        <f t="shared" si="32"/>
        <v>5</v>
      </c>
      <c r="C39" s="1">
        <f t="shared" ref="C39:C102" si="42">D39+E39</f>
        <v>242455</v>
      </c>
      <c r="D39" s="1">
        <f>F39-R39</f>
        <v>242455</v>
      </c>
      <c r="F39" s="1">
        <f t="shared" si="0"/>
        <v>379732</v>
      </c>
      <c r="G39" s="1">
        <f t="shared" si="1"/>
        <v>379732</v>
      </c>
      <c r="H39" s="1">
        <f t="shared" si="2"/>
        <v>294072</v>
      </c>
      <c r="I39" s="1">
        <f t="shared" si="37"/>
        <v>252130</v>
      </c>
      <c r="J39" s="1">
        <v>41942</v>
      </c>
      <c r="K39" s="1">
        <v>85660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f t="shared" ref="R39:R102" si="43">SUM(S39:AE39)</f>
        <v>137277</v>
      </c>
      <c r="S39" s="1">
        <f>FLOOR((G39)*IF(B39&lt;=3,VLOOKUP(A39-1,割合!A:B,2,FALSE),VLOOKUP(A39,割合!A:B,2,FALSE)),1)</f>
        <v>1139</v>
      </c>
      <c r="T39" s="1">
        <f t="shared" si="41"/>
        <v>32940</v>
      </c>
      <c r="U39" s="1">
        <f t="shared" si="33"/>
        <v>8208</v>
      </c>
      <c r="V39" s="1">
        <f t="shared" si="34"/>
        <v>5544</v>
      </c>
      <c r="W39" s="1">
        <v>0</v>
      </c>
      <c r="X39" s="1">
        <v>6420</v>
      </c>
      <c r="Y39" s="1">
        <f t="shared" si="40"/>
        <v>22100</v>
      </c>
      <c r="Z39" s="1">
        <f t="shared" si="27"/>
        <v>3120</v>
      </c>
      <c r="AA39" s="1">
        <f t="shared" si="9"/>
        <v>50</v>
      </c>
      <c r="AB39" s="1">
        <f t="shared" si="21"/>
        <v>1690</v>
      </c>
      <c r="AC39" s="1">
        <v>10696</v>
      </c>
      <c r="AD39" s="1">
        <f t="shared" si="13"/>
        <v>45370</v>
      </c>
      <c r="AE39" s="1">
        <v>0</v>
      </c>
    </row>
    <row r="40" spans="1:49">
      <c r="A40">
        <f t="shared" si="31"/>
        <v>2018</v>
      </c>
      <c r="B40">
        <f t="shared" si="32"/>
        <v>6</v>
      </c>
      <c r="C40" s="1">
        <f t="shared" si="42"/>
        <v>678450</v>
      </c>
      <c r="D40" s="1">
        <f>F40-R40</f>
        <v>165179</v>
      </c>
      <c r="E40" s="1">
        <f t="shared" ref="E40" si="44">AF40-AJ40</f>
        <v>513271</v>
      </c>
      <c r="F40" s="1">
        <f t="shared" si="0"/>
        <v>296072</v>
      </c>
      <c r="G40" s="1">
        <f t="shared" si="1"/>
        <v>296072</v>
      </c>
      <c r="H40" s="1">
        <f t="shared" si="2"/>
        <v>296072</v>
      </c>
      <c r="I40" s="1">
        <f t="shared" si="37"/>
        <v>252130</v>
      </c>
      <c r="J40" s="1">
        <v>43942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f t="shared" si="43"/>
        <v>130893</v>
      </c>
      <c r="S40" s="1">
        <f>FLOOR((G40)*IF(B40&lt;=3,VLOOKUP(A40-1,割合!A:B,2,FALSE),VLOOKUP(A40,割合!A:B,2,FALSE)),1)</f>
        <v>888</v>
      </c>
      <c r="T40" s="1">
        <f t="shared" si="41"/>
        <v>32940</v>
      </c>
      <c r="U40" s="1">
        <f t="shared" si="33"/>
        <v>8208</v>
      </c>
      <c r="V40" s="1">
        <f t="shared" si="34"/>
        <v>5544</v>
      </c>
      <c r="W40" s="1">
        <v>0</v>
      </c>
      <c r="X40" s="1">
        <v>6500</v>
      </c>
      <c r="Y40" s="1">
        <v>18200</v>
      </c>
      <c r="Z40" s="1">
        <f t="shared" si="27"/>
        <v>3120</v>
      </c>
      <c r="AA40" s="1">
        <f t="shared" si="9"/>
        <v>50</v>
      </c>
      <c r="AB40" s="1">
        <f t="shared" si="21"/>
        <v>1690</v>
      </c>
      <c r="AC40" s="1">
        <v>8383</v>
      </c>
      <c r="AD40" s="1">
        <f t="shared" si="13"/>
        <v>45370</v>
      </c>
      <c r="AE40" s="1">
        <v>0</v>
      </c>
      <c r="AF40" s="1">
        <f t="shared" ref="AF40" si="45">SUM(AG40:AI40)</f>
        <v>617000</v>
      </c>
      <c r="AG40" s="1">
        <v>280000</v>
      </c>
      <c r="AH40" s="1">
        <v>272000</v>
      </c>
      <c r="AI40" s="1">
        <v>65000</v>
      </c>
      <c r="AJ40" s="1">
        <f t="shared" ref="AJ40" si="46">SUM(AK40:AP40)</f>
        <v>103729</v>
      </c>
      <c r="AK40" s="1">
        <f>FLOOR(AF40*VLOOKUP(A40,割合!A:B,2,FALSE),1)</f>
        <v>1851</v>
      </c>
      <c r="AL40" s="1">
        <v>56455</v>
      </c>
      <c r="AM40" s="1">
        <v>14068</v>
      </c>
      <c r="AN40" s="1">
        <v>9501</v>
      </c>
      <c r="AO40" s="1">
        <v>0</v>
      </c>
      <c r="AP40" s="1">
        <v>21854</v>
      </c>
    </row>
    <row r="41" spans="1:49">
      <c r="A41">
        <f t="shared" si="31"/>
        <v>2018</v>
      </c>
      <c r="B41">
        <f t="shared" si="32"/>
        <v>7</v>
      </c>
      <c r="C41" s="1">
        <f t="shared" si="42"/>
        <v>213817</v>
      </c>
      <c r="D41" s="1">
        <f>F41-R41</f>
        <v>213817</v>
      </c>
      <c r="F41" s="1">
        <f t="shared" si="0"/>
        <v>344669</v>
      </c>
      <c r="G41" s="1">
        <f t="shared" si="1"/>
        <v>344669</v>
      </c>
      <c r="H41" s="1">
        <f t="shared" si="2"/>
        <v>344669</v>
      </c>
      <c r="I41" s="1">
        <f t="shared" si="37"/>
        <v>252130</v>
      </c>
      <c r="J41" s="1">
        <v>92539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f t="shared" si="43"/>
        <v>130852</v>
      </c>
      <c r="S41" s="1">
        <f>FLOOR((G41)*IF(B41&lt;=3,VLOOKUP(A41-1,割合!A:B,2,FALSE),VLOOKUP(A41,割合!A:B,2,FALSE)),1)</f>
        <v>1034</v>
      </c>
      <c r="T41" s="1">
        <f t="shared" si="41"/>
        <v>32940</v>
      </c>
      <c r="U41" s="1">
        <f t="shared" si="33"/>
        <v>8208</v>
      </c>
      <c r="V41" s="1">
        <f t="shared" si="34"/>
        <v>5544</v>
      </c>
      <c r="W41" s="1">
        <v>0</v>
      </c>
      <c r="X41" s="1">
        <v>8230</v>
      </c>
      <c r="Y41" s="1">
        <v>18200</v>
      </c>
      <c r="Z41" s="1">
        <f t="shared" si="27"/>
        <v>3120</v>
      </c>
      <c r="AA41" s="1">
        <f t="shared" si="9"/>
        <v>50</v>
      </c>
      <c r="AB41" s="1">
        <f t="shared" si="21"/>
        <v>1690</v>
      </c>
      <c r="AC41" s="1">
        <v>6466</v>
      </c>
      <c r="AD41" s="1">
        <f t="shared" si="13"/>
        <v>45370</v>
      </c>
      <c r="AE41" s="1">
        <v>0</v>
      </c>
    </row>
    <row r="42" spans="1:49">
      <c r="A42">
        <f t="shared" si="31"/>
        <v>2018</v>
      </c>
      <c r="B42">
        <f t="shared" si="32"/>
        <v>8</v>
      </c>
      <c r="C42" s="1">
        <f t="shared" si="42"/>
        <v>146038</v>
      </c>
      <c r="D42" s="1">
        <f>F42-R42</f>
        <v>146038</v>
      </c>
      <c r="F42" s="1">
        <f t="shared" si="0"/>
        <v>276021</v>
      </c>
      <c r="G42" s="1">
        <f t="shared" si="1"/>
        <v>276021</v>
      </c>
      <c r="H42" s="1">
        <f t="shared" si="2"/>
        <v>276021</v>
      </c>
      <c r="I42" s="1">
        <f t="shared" si="37"/>
        <v>252130</v>
      </c>
      <c r="J42" s="1">
        <v>23891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f t="shared" si="43"/>
        <v>129983</v>
      </c>
      <c r="S42" s="1">
        <f>FLOOR((G42)*IF(B42&lt;=3,VLOOKUP(A42-1,割合!A:B,2,FALSE),VLOOKUP(A42,割合!A:B,2,FALSE)),1)</f>
        <v>828</v>
      </c>
      <c r="T42" s="1">
        <f t="shared" si="41"/>
        <v>32940</v>
      </c>
      <c r="U42" s="1">
        <f t="shared" si="33"/>
        <v>8208</v>
      </c>
      <c r="V42" s="1">
        <f t="shared" si="34"/>
        <v>5544</v>
      </c>
      <c r="W42" s="1">
        <v>0</v>
      </c>
      <c r="X42" s="1">
        <v>5780</v>
      </c>
      <c r="Y42" s="1">
        <f t="shared" ref="Y42:Y51" si="47">Y41</f>
        <v>18200</v>
      </c>
      <c r="Z42" s="1">
        <f t="shared" si="27"/>
        <v>3120</v>
      </c>
      <c r="AA42" s="1">
        <f t="shared" si="9"/>
        <v>50</v>
      </c>
      <c r="AB42" s="1">
        <f t="shared" si="21"/>
        <v>1690</v>
      </c>
      <c r="AC42" s="1">
        <v>8253</v>
      </c>
      <c r="AD42" s="1">
        <f t="shared" si="13"/>
        <v>45370</v>
      </c>
      <c r="AE42" s="1">
        <v>0</v>
      </c>
    </row>
    <row r="43" spans="1:49">
      <c r="A43">
        <f t="shared" si="31"/>
        <v>2018</v>
      </c>
      <c r="B43">
        <f t="shared" si="32"/>
        <v>9</v>
      </c>
      <c r="C43" s="1">
        <f t="shared" si="42"/>
        <v>144852</v>
      </c>
      <c r="D43" s="1">
        <f>F43-R43</f>
        <v>144852</v>
      </c>
      <c r="F43" s="1">
        <f t="shared" si="0"/>
        <v>273366</v>
      </c>
      <c r="G43" s="1">
        <f t="shared" si="1"/>
        <v>273366</v>
      </c>
      <c r="H43" s="1">
        <f t="shared" si="2"/>
        <v>273366</v>
      </c>
      <c r="I43" s="1">
        <f t="shared" si="37"/>
        <v>252130</v>
      </c>
      <c r="J43" s="1">
        <v>21236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f t="shared" si="43"/>
        <v>128514</v>
      </c>
      <c r="S43" s="1">
        <f>FLOOR((G43)*IF(B43&lt;=3,VLOOKUP(A43-1,割合!A:B,2,FALSE),VLOOKUP(A43,割合!A:B,2,FALSE)),1)</f>
        <v>820</v>
      </c>
      <c r="T43" s="1">
        <f t="shared" si="41"/>
        <v>32940</v>
      </c>
      <c r="U43" s="1">
        <f t="shared" si="33"/>
        <v>8208</v>
      </c>
      <c r="V43" s="1">
        <f t="shared" si="34"/>
        <v>5544</v>
      </c>
      <c r="W43" s="1">
        <v>0</v>
      </c>
      <c r="X43" s="1">
        <v>5690</v>
      </c>
      <c r="Y43" s="1">
        <f t="shared" si="47"/>
        <v>18200</v>
      </c>
      <c r="Z43" s="1">
        <f t="shared" si="27"/>
        <v>3120</v>
      </c>
      <c r="AA43" s="1">
        <f t="shared" si="9"/>
        <v>50</v>
      </c>
      <c r="AB43" s="1">
        <f t="shared" si="21"/>
        <v>1690</v>
      </c>
      <c r="AC43" s="1">
        <v>6882</v>
      </c>
      <c r="AD43" s="1">
        <f t="shared" si="13"/>
        <v>45370</v>
      </c>
      <c r="AE43" s="1">
        <v>0</v>
      </c>
    </row>
    <row r="44" spans="1:49">
      <c r="A44">
        <f t="shared" si="31"/>
        <v>2018</v>
      </c>
      <c r="B44">
        <f t="shared" si="32"/>
        <v>10</v>
      </c>
      <c r="C44" s="1">
        <f t="shared" si="42"/>
        <v>183228</v>
      </c>
      <c r="D44" s="1">
        <f>F44-R44</f>
        <v>183228</v>
      </c>
      <c r="F44" s="1">
        <f t="shared" si="0"/>
        <v>306481</v>
      </c>
      <c r="G44" s="1">
        <f t="shared" si="1"/>
        <v>306970</v>
      </c>
      <c r="H44" s="1">
        <f t="shared" si="2"/>
        <v>306481</v>
      </c>
      <c r="I44" s="1">
        <f t="shared" si="37"/>
        <v>252130</v>
      </c>
      <c r="J44" s="1">
        <v>54840</v>
      </c>
      <c r="K44" s="1">
        <v>0</v>
      </c>
      <c r="L44" s="1">
        <v>0</v>
      </c>
      <c r="M44" s="1">
        <v>0</v>
      </c>
      <c r="N44" s="1">
        <v>-489</v>
      </c>
      <c r="O44" s="1">
        <v>0</v>
      </c>
      <c r="P44" s="1">
        <v>0</v>
      </c>
      <c r="Q44" s="1">
        <v>0</v>
      </c>
      <c r="R44" s="1">
        <f t="shared" si="43"/>
        <v>123253</v>
      </c>
      <c r="S44" s="1">
        <f>FLOOR((G44)*IF(B44&lt;=3,VLOOKUP(A44-1,割合!A:B,2,FALSE),VLOOKUP(A44,割合!A:B,2,FALSE)),1)</f>
        <v>920</v>
      </c>
      <c r="T44" s="1">
        <v>29280</v>
      </c>
      <c r="U44" s="1">
        <v>7296</v>
      </c>
      <c r="V44" s="1">
        <v>4928</v>
      </c>
      <c r="W44" s="1">
        <v>0</v>
      </c>
      <c r="X44" s="1">
        <v>7050</v>
      </c>
      <c r="Y44" s="1">
        <f t="shared" si="47"/>
        <v>18200</v>
      </c>
      <c r="Z44" s="1">
        <f t="shared" si="27"/>
        <v>3120</v>
      </c>
      <c r="AA44" s="1">
        <f t="shared" si="9"/>
        <v>50</v>
      </c>
      <c r="AB44" s="1">
        <f t="shared" si="21"/>
        <v>1690</v>
      </c>
      <c r="AC44" s="1">
        <v>5349</v>
      </c>
      <c r="AD44" s="1">
        <f t="shared" si="13"/>
        <v>45370</v>
      </c>
      <c r="AE44" s="1">
        <v>0</v>
      </c>
    </row>
    <row r="45" spans="1:49">
      <c r="A45">
        <f t="shared" si="31"/>
        <v>2018</v>
      </c>
      <c r="B45">
        <f t="shared" si="32"/>
        <v>11</v>
      </c>
      <c r="C45" s="1">
        <f t="shared" si="42"/>
        <v>324686</v>
      </c>
      <c r="D45" s="1">
        <f>F45-R45</f>
        <v>324686</v>
      </c>
      <c r="F45" s="1">
        <f t="shared" si="0"/>
        <v>452058</v>
      </c>
      <c r="G45" s="1">
        <f t="shared" si="1"/>
        <v>452058</v>
      </c>
      <c r="H45" s="1">
        <f t="shared" si="2"/>
        <v>366398</v>
      </c>
      <c r="I45" s="1">
        <f t="shared" si="37"/>
        <v>252130</v>
      </c>
      <c r="J45" s="1">
        <v>114268</v>
      </c>
      <c r="K45" s="1">
        <v>85660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f t="shared" si="43"/>
        <v>127372</v>
      </c>
      <c r="S45" s="1">
        <f>FLOOR((G45)*IF(B45&lt;=3,VLOOKUP(A45-1,割合!A:B,2,FALSE),VLOOKUP(A45,割合!A:B,2,FALSE)),1)</f>
        <v>1356</v>
      </c>
      <c r="T45" s="1">
        <f t="shared" si="41"/>
        <v>29280</v>
      </c>
      <c r="U45" s="1">
        <f t="shared" si="33"/>
        <v>7296</v>
      </c>
      <c r="V45" s="1">
        <f t="shared" si="34"/>
        <v>4928</v>
      </c>
      <c r="W45" s="1">
        <v>0</v>
      </c>
      <c r="X45" s="1">
        <v>10300</v>
      </c>
      <c r="Y45" s="1">
        <f t="shared" si="47"/>
        <v>18200</v>
      </c>
      <c r="Z45" s="1">
        <f t="shared" si="27"/>
        <v>3120</v>
      </c>
      <c r="AA45" s="1">
        <f t="shared" si="9"/>
        <v>50</v>
      </c>
      <c r="AB45" s="1">
        <f t="shared" si="21"/>
        <v>1690</v>
      </c>
      <c r="AC45" s="1">
        <v>5782</v>
      </c>
      <c r="AD45" s="1">
        <f t="shared" si="13"/>
        <v>45370</v>
      </c>
      <c r="AE45" s="1">
        <v>0</v>
      </c>
    </row>
    <row r="46" spans="1:49">
      <c r="A46">
        <f t="shared" si="31"/>
        <v>2018</v>
      </c>
      <c r="B46">
        <f t="shared" si="32"/>
        <v>12</v>
      </c>
      <c r="C46" s="1">
        <f t="shared" si="42"/>
        <v>777027</v>
      </c>
      <c r="D46" s="1">
        <f>F46-R46</f>
        <v>259256</v>
      </c>
      <c r="E46" s="1">
        <f t="shared" ref="E46" si="48">AF46-AJ46</f>
        <v>517771</v>
      </c>
      <c r="F46" s="1">
        <f t="shared" si="0"/>
        <v>363818</v>
      </c>
      <c r="G46" s="1">
        <f t="shared" si="1"/>
        <v>363818</v>
      </c>
      <c r="H46" s="1">
        <f t="shared" si="2"/>
        <v>363818</v>
      </c>
      <c r="I46" s="1">
        <f t="shared" si="37"/>
        <v>252130</v>
      </c>
      <c r="J46" s="1">
        <v>111688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f t="shared" si="43"/>
        <v>104562</v>
      </c>
      <c r="S46" s="1">
        <f>FLOOR((G46)*IF(B46&lt;=3,VLOOKUP(A46-1,割合!A:B,2,FALSE),VLOOKUP(A46,割合!A:B,2,FALSE)),1)</f>
        <v>1091</v>
      </c>
      <c r="T46" s="1">
        <f t="shared" si="41"/>
        <v>29280</v>
      </c>
      <c r="U46" s="1">
        <f t="shared" si="33"/>
        <v>7296</v>
      </c>
      <c r="V46" s="1">
        <f t="shared" si="34"/>
        <v>4928</v>
      </c>
      <c r="W46" s="1">
        <v>0</v>
      </c>
      <c r="X46" s="1">
        <v>-9407</v>
      </c>
      <c r="Y46" s="1">
        <f t="shared" si="47"/>
        <v>18200</v>
      </c>
      <c r="Z46" s="1">
        <f t="shared" si="27"/>
        <v>3120</v>
      </c>
      <c r="AA46" s="1">
        <f t="shared" si="9"/>
        <v>50</v>
      </c>
      <c r="AB46" s="1">
        <f t="shared" si="21"/>
        <v>1690</v>
      </c>
      <c r="AC46" s="1">
        <v>2944</v>
      </c>
      <c r="AD46" s="1">
        <f t="shared" si="13"/>
        <v>45370</v>
      </c>
      <c r="AE46" s="1">
        <v>0</v>
      </c>
      <c r="AF46" s="1">
        <f t="shared" ref="AF46" si="49">SUM(AG46:AI46)</f>
        <v>637100</v>
      </c>
      <c r="AG46" s="1">
        <v>277700</v>
      </c>
      <c r="AH46" s="1">
        <v>282000</v>
      </c>
      <c r="AI46" s="1">
        <v>77400</v>
      </c>
      <c r="AJ46" s="1">
        <f t="shared" ref="AJ46" si="50">SUM(AK46:AP46)</f>
        <v>119329</v>
      </c>
      <c r="AK46" s="1">
        <f>FLOOR(AF46*VLOOKUP(A46,割合!A:B,2,FALSE),1)</f>
        <v>1911</v>
      </c>
      <c r="AL46" s="1">
        <v>58285</v>
      </c>
      <c r="AM46" s="1">
        <v>14524</v>
      </c>
      <c r="AN46" s="1">
        <v>9809</v>
      </c>
      <c r="AO46" s="1">
        <v>0</v>
      </c>
      <c r="AP46" s="1">
        <v>34800</v>
      </c>
      <c r="AQ46" s="1">
        <f>SUM(H35:H46)+SUM(AF35:AF46)</f>
        <v>5062037</v>
      </c>
      <c r="AR46" s="1">
        <f t="shared" ref="AR46" si="51">AQ46-AQ34</f>
        <v>411049</v>
      </c>
      <c r="AS46" s="1">
        <f t="shared" ref="AS46" si="52">AR46/12</f>
        <v>34254.083333333336</v>
      </c>
      <c r="AT46" s="1">
        <f>SUM(C35:C46)+SUM(AC35:AE46)</f>
        <v>4087371</v>
      </c>
      <c r="AU46" s="1">
        <f t="shared" ref="AU46" si="53">AT46-AT34</f>
        <v>183809</v>
      </c>
      <c r="AV46" s="1">
        <f t="shared" ref="AV46" si="54">AU46/12</f>
        <v>15317.416666666666</v>
      </c>
      <c r="AW46" s="3">
        <f>AT46/AQ46</f>
        <v>0.80745577323911299</v>
      </c>
    </row>
    <row r="47" spans="1:49">
      <c r="A47">
        <f t="shared" si="31"/>
        <v>2019</v>
      </c>
      <c r="B47">
        <f t="shared" si="32"/>
        <v>1</v>
      </c>
      <c r="C47" s="1">
        <f t="shared" si="42"/>
        <v>208825</v>
      </c>
      <c r="D47" s="1">
        <f>F47-R47</f>
        <v>208825</v>
      </c>
      <c r="F47" s="1">
        <f t="shared" si="0"/>
        <v>330781</v>
      </c>
      <c r="G47" s="1">
        <f t="shared" si="1"/>
        <v>330781</v>
      </c>
      <c r="H47" s="1">
        <f t="shared" si="2"/>
        <v>330781</v>
      </c>
      <c r="I47" s="1">
        <f t="shared" si="37"/>
        <v>252130</v>
      </c>
      <c r="J47" s="1">
        <v>78651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f t="shared" si="43"/>
        <v>121956</v>
      </c>
      <c r="S47" s="1">
        <f>FLOOR((G47)*IF(B47&lt;=3,VLOOKUP(A47-1,割合!A:B,2,FALSE),VLOOKUP(A47,割合!A:B,2,FALSE)),1)</f>
        <v>992</v>
      </c>
      <c r="T47" s="1">
        <f t="shared" si="41"/>
        <v>29280</v>
      </c>
      <c r="U47" s="1">
        <f t="shared" si="33"/>
        <v>7296</v>
      </c>
      <c r="V47" s="1">
        <f t="shared" si="34"/>
        <v>4928</v>
      </c>
      <c r="W47" s="1">
        <v>0</v>
      </c>
      <c r="X47" s="1">
        <v>7920</v>
      </c>
      <c r="Y47" s="1">
        <f t="shared" si="47"/>
        <v>18200</v>
      </c>
      <c r="Z47" s="1">
        <f t="shared" si="27"/>
        <v>3120</v>
      </c>
      <c r="AA47" s="1">
        <f t="shared" si="9"/>
        <v>50</v>
      </c>
      <c r="AB47" s="1">
        <f t="shared" si="21"/>
        <v>1690</v>
      </c>
      <c r="AC47" s="1">
        <v>3110</v>
      </c>
      <c r="AD47" s="1">
        <f t="shared" si="13"/>
        <v>45370</v>
      </c>
      <c r="AE47" s="1">
        <v>0</v>
      </c>
    </row>
    <row r="48" spans="1:49">
      <c r="A48">
        <f t="shared" si="31"/>
        <v>2019</v>
      </c>
      <c r="B48">
        <f t="shared" si="32"/>
        <v>2</v>
      </c>
      <c r="C48" s="1">
        <f t="shared" si="42"/>
        <v>212512</v>
      </c>
      <c r="D48" s="1">
        <f>F48-R48</f>
        <v>212512</v>
      </c>
      <c r="F48" s="1">
        <f t="shared" si="0"/>
        <v>331766</v>
      </c>
      <c r="G48" s="1">
        <f t="shared" si="1"/>
        <v>331766</v>
      </c>
      <c r="H48" s="1">
        <f t="shared" si="2"/>
        <v>331766</v>
      </c>
      <c r="I48" s="1">
        <f t="shared" si="37"/>
        <v>252130</v>
      </c>
      <c r="J48" s="1">
        <v>79636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f t="shared" si="43"/>
        <v>119254</v>
      </c>
      <c r="S48" s="1">
        <f>FLOOR((G48)*IF(B48&lt;=3,VLOOKUP(A48-1,割合!A:B,2,FALSE),VLOOKUP(A48,割合!A:B,2,FALSE)),1)</f>
        <v>995</v>
      </c>
      <c r="T48" s="1">
        <f t="shared" si="41"/>
        <v>29280</v>
      </c>
      <c r="U48" s="1">
        <f t="shared" si="33"/>
        <v>7296</v>
      </c>
      <c r="V48" s="1">
        <f t="shared" si="34"/>
        <v>4928</v>
      </c>
      <c r="W48" s="1">
        <v>0</v>
      </c>
      <c r="X48" s="1">
        <v>7950</v>
      </c>
      <c r="Y48" s="1">
        <f t="shared" si="47"/>
        <v>18200</v>
      </c>
      <c r="Z48" s="1">
        <f t="shared" si="27"/>
        <v>3120</v>
      </c>
      <c r="AA48" s="1">
        <f t="shared" si="9"/>
        <v>50</v>
      </c>
      <c r="AB48" s="1">
        <f t="shared" si="21"/>
        <v>1690</v>
      </c>
      <c r="AC48" s="1">
        <v>375</v>
      </c>
      <c r="AD48" s="1">
        <f t="shared" si="13"/>
        <v>45370</v>
      </c>
      <c r="AE48" s="1">
        <v>0</v>
      </c>
    </row>
    <row r="49" spans="1:49">
      <c r="A49">
        <f t="shared" si="31"/>
        <v>2019</v>
      </c>
      <c r="B49">
        <f t="shared" si="32"/>
        <v>3</v>
      </c>
      <c r="C49" s="1">
        <f t="shared" si="42"/>
        <v>200810</v>
      </c>
      <c r="D49" s="1">
        <f>F49-R49</f>
        <v>200810</v>
      </c>
      <c r="F49" s="1">
        <f t="shared" si="0"/>
        <v>319521</v>
      </c>
      <c r="G49" s="1">
        <f t="shared" si="1"/>
        <v>319521</v>
      </c>
      <c r="H49" s="1">
        <f t="shared" si="2"/>
        <v>319521</v>
      </c>
      <c r="I49" s="1">
        <f t="shared" si="37"/>
        <v>252130</v>
      </c>
      <c r="J49" s="1">
        <v>67391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f t="shared" si="43"/>
        <v>118711</v>
      </c>
      <c r="S49" s="1">
        <f>FLOOR((G49)*IF(B49&lt;=3,VLOOKUP(A49-1,割合!A:B,2,FALSE),VLOOKUP(A49,割合!A:B,2,FALSE)),1)</f>
        <v>958</v>
      </c>
      <c r="T49" s="1">
        <f t="shared" si="41"/>
        <v>29280</v>
      </c>
      <c r="U49" s="1">
        <f t="shared" si="33"/>
        <v>7296</v>
      </c>
      <c r="V49" s="1">
        <f t="shared" si="34"/>
        <v>4928</v>
      </c>
      <c r="W49" s="1">
        <v>0</v>
      </c>
      <c r="X49" s="1">
        <v>7520</v>
      </c>
      <c r="Y49" s="1">
        <f t="shared" si="47"/>
        <v>18200</v>
      </c>
      <c r="Z49" s="1">
        <f t="shared" si="27"/>
        <v>3120</v>
      </c>
      <c r="AA49" s="1">
        <f t="shared" si="9"/>
        <v>50</v>
      </c>
      <c r="AB49" s="1">
        <f t="shared" si="21"/>
        <v>1690</v>
      </c>
      <c r="AC49" s="1">
        <v>299</v>
      </c>
      <c r="AD49" s="1">
        <f t="shared" si="13"/>
        <v>45370</v>
      </c>
      <c r="AE49" s="1">
        <v>0</v>
      </c>
    </row>
    <row r="50" spans="1:49">
      <c r="A50">
        <f t="shared" si="31"/>
        <v>2019</v>
      </c>
      <c r="B50">
        <f t="shared" si="32"/>
        <v>4</v>
      </c>
      <c r="C50" s="1">
        <f t="shared" si="42"/>
        <v>218545</v>
      </c>
      <c r="D50" s="1">
        <f>F50-R50</f>
        <v>218545</v>
      </c>
      <c r="F50" s="1">
        <f t="shared" si="0"/>
        <v>338631</v>
      </c>
      <c r="G50" s="1">
        <f t="shared" si="1"/>
        <v>338631</v>
      </c>
      <c r="H50" s="1">
        <f t="shared" si="2"/>
        <v>338631</v>
      </c>
      <c r="I50" s="1">
        <v>261530</v>
      </c>
      <c r="J50" s="1">
        <v>77101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f t="shared" si="43"/>
        <v>120086</v>
      </c>
      <c r="S50" s="1">
        <f>FLOOR((G50)*IF(B50&lt;=3,VLOOKUP(A50-1,割合!A:B,2,FALSE),VLOOKUP(A50,割合!A:B,2,FALSE)),1)</f>
        <v>1015</v>
      </c>
      <c r="T50" s="1">
        <f t="shared" si="41"/>
        <v>29280</v>
      </c>
      <c r="U50" s="1">
        <v>7626</v>
      </c>
      <c r="V50" s="1">
        <v>4598</v>
      </c>
      <c r="W50" s="1">
        <v>0</v>
      </c>
      <c r="X50" s="1">
        <v>8200</v>
      </c>
      <c r="Y50" s="1">
        <f t="shared" si="47"/>
        <v>18200</v>
      </c>
      <c r="Z50" s="1">
        <v>3230</v>
      </c>
      <c r="AA50" s="1">
        <f t="shared" si="9"/>
        <v>50</v>
      </c>
      <c r="AB50" s="1">
        <f t="shared" si="21"/>
        <v>1690</v>
      </c>
      <c r="AC50" s="1">
        <v>827</v>
      </c>
      <c r="AD50" s="1">
        <f t="shared" si="13"/>
        <v>45370</v>
      </c>
      <c r="AE50" s="1">
        <v>0</v>
      </c>
    </row>
    <row r="51" spans="1:49">
      <c r="A51">
        <f t="shared" si="31"/>
        <v>2019</v>
      </c>
      <c r="B51">
        <f t="shared" si="32"/>
        <v>5</v>
      </c>
      <c r="C51" s="1">
        <f t="shared" si="42"/>
        <v>264432</v>
      </c>
      <c r="D51" s="1">
        <f>F51-R51</f>
        <v>264432</v>
      </c>
      <c r="F51" s="1">
        <f t="shared" si="0"/>
        <v>382419</v>
      </c>
      <c r="G51" s="1">
        <f t="shared" si="1"/>
        <v>374419</v>
      </c>
      <c r="H51" s="1">
        <f t="shared" si="2"/>
        <v>296759</v>
      </c>
      <c r="I51" s="1">
        <f t="shared" si="37"/>
        <v>261530</v>
      </c>
      <c r="J51" s="1">
        <v>27229</v>
      </c>
      <c r="K51" s="1">
        <v>85660</v>
      </c>
      <c r="L51" s="1">
        <v>0</v>
      </c>
      <c r="M51" s="1">
        <v>0</v>
      </c>
      <c r="N51" s="1">
        <v>8000</v>
      </c>
      <c r="O51" s="1">
        <v>0</v>
      </c>
      <c r="P51" s="1">
        <v>0</v>
      </c>
      <c r="Q51" s="1">
        <v>0</v>
      </c>
      <c r="R51" s="1">
        <f t="shared" si="43"/>
        <v>117987</v>
      </c>
      <c r="S51" s="1">
        <f>FLOOR((G51)*IF(B51&lt;=3,VLOOKUP(A51-1,割合!A:B,2,FALSE),VLOOKUP(A51,割合!A:B,2,FALSE)),1)</f>
        <v>1123</v>
      </c>
      <c r="T51" s="1">
        <f t="shared" si="41"/>
        <v>29280</v>
      </c>
      <c r="U51" s="1">
        <f t="shared" si="33"/>
        <v>7626</v>
      </c>
      <c r="V51" s="1">
        <f t="shared" si="34"/>
        <v>4598</v>
      </c>
      <c r="W51" s="1">
        <v>0</v>
      </c>
      <c r="X51" s="1">
        <v>6700</v>
      </c>
      <c r="Y51" s="1">
        <f t="shared" si="47"/>
        <v>18200</v>
      </c>
      <c r="Z51" s="1">
        <f t="shared" si="27"/>
        <v>3230</v>
      </c>
      <c r="AA51" s="1">
        <f t="shared" si="9"/>
        <v>50</v>
      </c>
      <c r="AB51" s="1">
        <f t="shared" si="21"/>
        <v>1690</v>
      </c>
      <c r="AC51" s="1">
        <v>120</v>
      </c>
      <c r="AD51" s="1">
        <f t="shared" si="13"/>
        <v>45370</v>
      </c>
      <c r="AE51" s="1">
        <v>0</v>
      </c>
    </row>
    <row r="52" spans="1:49">
      <c r="A52">
        <f t="shared" si="31"/>
        <v>2019</v>
      </c>
      <c r="B52">
        <f t="shared" si="32"/>
        <v>6</v>
      </c>
      <c r="C52" s="1">
        <f t="shared" si="42"/>
        <v>736031</v>
      </c>
      <c r="D52" s="1">
        <f>F52-R52</f>
        <v>202749</v>
      </c>
      <c r="E52" s="1">
        <f t="shared" ref="E52" si="55">AF52-AJ52</f>
        <v>533282</v>
      </c>
      <c r="F52" s="1">
        <f t="shared" si="0"/>
        <v>324695</v>
      </c>
      <c r="G52" s="1">
        <f t="shared" si="1"/>
        <v>324695</v>
      </c>
      <c r="H52" s="1">
        <f t="shared" si="2"/>
        <v>324695</v>
      </c>
      <c r="I52" s="1">
        <f t="shared" si="37"/>
        <v>261530</v>
      </c>
      <c r="J52" s="1">
        <v>63165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f t="shared" si="43"/>
        <v>121946</v>
      </c>
      <c r="S52" s="1">
        <f>FLOOR((G52)*IF(B52&lt;=3,VLOOKUP(A52-1,割合!A:B,2,FALSE),VLOOKUP(A52,割合!A:B,2,FALSE)),1)</f>
        <v>974</v>
      </c>
      <c r="T52" s="1">
        <f t="shared" si="41"/>
        <v>29280</v>
      </c>
      <c r="U52" s="1">
        <f t="shared" si="33"/>
        <v>7626</v>
      </c>
      <c r="V52" s="1">
        <f t="shared" si="34"/>
        <v>4598</v>
      </c>
      <c r="W52" s="1">
        <v>0</v>
      </c>
      <c r="X52" s="1">
        <v>7700</v>
      </c>
      <c r="Y52" s="1">
        <v>21000</v>
      </c>
      <c r="Z52" s="1">
        <f t="shared" si="27"/>
        <v>3230</v>
      </c>
      <c r="AA52" s="1">
        <f t="shared" si="9"/>
        <v>50</v>
      </c>
      <c r="AB52" s="1">
        <f t="shared" si="21"/>
        <v>1690</v>
      </c>
      <c r="AC52" s="1">
        <v>428</v>
      </c>
      <c r="AD52" s="1">
        <f t="shared" si="13"/>
        <v>45370</v>
      </c>
      <c r="AE52" s="1">
        <v>0</v>
      </c>
      <c r="AF52" s="1">
        <f t="shared" ref="AF52" si="56">SUM(AG52:AI52)</f>
        <v>655000</v>
      </c>
      <c r="AG52" s="1">
        <v>280000</v>
      </c>
      <c r="AH52" s="1">
        <v>287000</v>
      </c>
      <c r="AI52" s="1">
        <v>88000</v>
      </c>
      <c r="AJ52" s="1">
        <f t="shared" ref="AJ52" si="57">SUM(AK52:AP52)</f>
        <v>121718</v>
      </c>
      <c r="AK52" s="1">
        <f>FLOOR(AF52*VLOOKUP(A52,割合!A:B,2,FALSE),1)</f>
        <v>1965</v>
      </c>
      <c r="AL52" s="1">
        <v>59932</v>
      </c>
      <c r="AM52" s="1">
        <v>15609</v>
      </c>
      <c r="AN52" s="1">
        <v>9412</v>
      </c>
      <c r="AO52" s="1">
        <v>0</v>
      </c>
      <c r="AP52" s="1">
        <v>34800</v>
      </c>
    </row>
    <row r="53" spans="1:49">
      <c r="A53">
        <f t="shared" si="31"/>
        <v>2019</v>
      </c>
      <c r="B53">
        <f t="shared" si="32"/>
        <v>7</v>
      </c>
      <c r="C53" s="1">
        <f t="shared" si="42"/>
        <v>200094</v>
      </c>
      <c r="D53" s="1">
        <f>F53-R53</f>
        <v>200094</v>
      </c>
      <c r="F53" s="1">
        <f t="shared" si="0"/>
        <v>321639</v>
      </c>
      <c r="G53" s="1">
        <f t="shared" si="1"/>
        <v>321639</v>
      </c>
      <c r="H53" s="1">
        <f t="shared" si="2"/>
        <v>321639</v>
      </c>
      <c r="I53" s="1">
        <f t="shared" si="37"/>
        <v>261530</v>
      </c>
      <c r="J53" s="1">
        <v>60109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f t="shared" si="43"/>
        <v>121545</v>
      </c>
      <c r="S53" s="1">
        <f>FLOOR((G53)*IF(B53&lt;=3,VLOOKUP(A53-1,割合!A:B,2,FALSE),VLOOKUP(A53,割合!A:B,2,FALSE)),1)</f>
        <v>964</v>
      </c>
      <c r="T53" s="1">
        <f t="shared" si="41"/>
        <v>29280</v>
      </c>
      <c r="U53" s="1">
        <f t="shared" si="33"/>
        <v>7626</v>
      </c>
      <c r="V53" s="1">
        <f t="shared" si="34"/>
        <v>4598</v>
      </c>
      <c r="W53" s="1">
        <v>0</v>
      </c>
      <c r="X53" s="1">
        <v>7590</v>
      </c>
      <c r="Y53" s="1">
        <v>20100</v>
      </c>
      <c r="Z53" s="1">
        <f t="shared" si="27"/>
        <v>3230</v>
      </c>
      <c r="AA53" s="1">
        <f t="shared" si="9"/>
        <v>50</v>
      </c>
      <c r="AB53" s="1">
        <f t="shared" si="21"/>
        <v>1690</v>
      </c>
      <c r="AC53" s="1">
        <v>1047</v>
      </c>
      <c r="AD53" s="1">
        <f t="shared" si="13"/>
        <v>45370</v>
      </c>
      <c r="AE53" s="1">
        <v>0</v>
      </c>
    </row>
    <row r="54" spans="1:49">
      <c r="A54">
        <f t="shared" si="31"/>
        <v>2019</v>
      </c>
      <c r="B54">
        <f t="shared" si="32"/>
        <v>8</v>
      </c>
      <c r="C54" s="1">
        <f t="shared" si="42"/>
        <v>218580</v>
      </c>
      <c r="D54" s="1">
        <f>F54-R54</f>
        <v>218580</v>
      </c>
      <c r="F54" s="1">
        <f t="shared" si="0"/>
        <v>343361</v>
      </c>
      <c r="G54" s="1">
        <f t="shared" si="1"/>
        <v>343361</v>
      </c>
      <c r="H54" s="1">
        <f t="shared" si="2"/>
        <v>343361</v>
      </c>
      <c r="I54" s="1">
        <f t="shared" si="37"/>
        <v>261530</v>
      </c>
      <c r="J54" s="1">
        <v>81831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f t="shared" si="43"/>
        <v>124781</v>
      </c>
      <c r="S54" s="1">
        <f>FLOOR((G54)*IF(B54&lt;=3,VLOOKUP(A54-1,割合!A:B,2,FALSE),VLOOKUP(A54,割合!A:B,2,FALSE)),1)</f>
        <v>1030</v>
      </c>
      <c r="T54" s="1">
        <f t="shared" si="41"/>
        <v>29280</v>
      </c>
      <c r="U54" s="1">
        <f t="shared" si="33"/>
        <v>7626</v>
      </c>
      <c r="V54" s="1">
        <f t="shared" si="34"/>
        <v>4598</v>
      </c>
      <c r="W54" s="1">
        <v>0</v>
      </c>
      <c r="X54" s="1">
        <v>8450</v>
      </c>
      <c r="Y54" s="1">
        <f t="shared" ref="Y54:Y63" si="58">Y53</f>
        <v>20100</v>
      </c>
      <c r="Z54" s="1">
        <f t="shared" si="27"/>
        <v>3230</v>
      </c>
      <c r="AA54" s="1">
        <f t="shared" si="9"/>
        <v>50</v>
      </c>
      <c r="AB54" s="1">
        <f t="shared" si="21"/>
        <v>1690</v>
      </c>
      <c r="AC54" s="1">
        <v>3357</v>
      </c>
      <c r="AD54" s="1">
        <f t="shared" si="13"/>
        <v>45370</v>
      </c>
      <c r="AE54" s="1">
        <v>0</v>
      </c>
    </row>
    <row r="55" spans="1:49">
      <c r="A55">
        <f t="shared" si="31"/>
        <v>2019</v>
      </c>
      <c r="B55">
        <f t="shared" si="32"/>
        <v>9</v>
      </c>
      <c r="C55" s="1">
        <f t="shared" si="42"/>
        <v>184532</v>
      </c>
      <c r="D55" s="1">
        <f>F55-R55</f>
        <v>184532</v>
      </c>
      <c r="F55" s="1">
        <f t="shared" si="0"/>
        <v>306173</v>
      </c>
      <c r="G55" s="1">
        <f t="shared" si="1"/>
        <v>306173</v>
      </c>
      <c r="H55" s="1">
        <f t="shared" si="2"/>
        <v>306173</v>
      </c>
      <c r="I55" s="1">
        <f t="shared" si="37"/>
        <v>261530</v>
      </c>
      <c r="J55" s="1">
        <v>44643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f t="shared" si="43"/>
        <v>121641</v>
      </c>
      <c r="S55" s="1">
        <f>FLOOR((G55)*IF(B55&lt;=3,VLOOKUP(A55-1,割合!A:B,2,FALSE),VLOOKUP(A55,割合!A:B,2,FALSE)),1)</f>
        <v>918</v>
      </c>
      <c r="T55" s="1">
        <f t="shared" si="41"/>
        <v>29280</v>
      </c>
      <c r="U55" s="1">
        <f t="shared" si="33"/>
        <v>7626</v>
      </c>
      <c r="V55" s="1">
        <f t="shared" si="34"/>
        <v>4598</v>
      </c>
      <c r="W55" s="1">
        <v>0</v>
      </c>
      <c r="X55" s="1">
        <v>7040</v>
      </c>
      <c r="Y55" s="1">
        <f t="shared" si="58"/>
        <v>20100</v>
      </c>
      <c r="Z55" s="1">
        <f t="shared" si="27"/>
        <v>3230</v>
      </c>
      <c r="AA55" s="1">
        <f t="shared" si="9"/>
        <v>50</v>
      </c>
      <c r="AB55" s="1">
        <f t="shared" si="21"/>
        <v>1690</v>
      </c>
      <c r="AC55" s="1">
        <v>1739</v>
      </c>
      <c r="AD55" s="1">
        <f t="shared" si="13"/>
        <v>45370</v>
      </c>
      <c r="AE55" s="1">
        <v>0</v>
      </c>
    </row>
    <row r="56" spans="1:49">
      <c r="A56">
        <f t="shared" si="31"/>
        <v>2019</v>
      </c>
      <c r="B56">
        <f t="shared" si="32"/>
        <v>10</v>
      </c>
      <c r="C56" s="1">
        <f t="shared" si="42"/>
        <v>161270</v>
      </c>
      <c r="D56" s="1">
        <f>F56-R56</f>
        <v>161270</v>
      </c>
      <c r="F56" s="1">
        <f t="shared" si="0"/>
        <v>285761</v>
      </c>
      <c r="G56" s="1">
        <f t="shared" si="1"/>
        <v>285761</v>
      </c>
      <c r="H56" s="1">
        <f t="shared" si="2"/>
        <v>285761</v>
      </c>
      <c r="I56" s="1">
        <f t="shared" si="37"/>
        <v>261530</v>
      </c>
      <c r="J56" s="1">
        <v>24231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f t="shared" si="43"/>
        <v>124491</v>
      </c>
      <c r="S56" s="1">
        <f>FLOOR((G56)*IF(B56&lt;=3,VLOOKUP(A56-1,割合!A:B,2,FALSE),VLOOKUP(A56,割合!A:B,2,FALSE)),1)</f>
        <v>857</v>
      </c>
      <c r="T56" s="1">
        <v>31110</v>
      </c>
      <c r="U56" s="1">
        <v>8103</v>
      </c>
      <c r="V56" s="1">
        <v>4885</v>
      </c>
      <c r="W56" s="1">
        <v>0</v>
      </c>
      <c r="X56" s="1">
        <v>6220</v>
      </c>
      <c r="Y56" s="1">
        <f t="shared" si="58"/>
        <v>20100</v>
      </c>
      <c r="Z56" s="1">
        <f t="shared" si="27"/>
        <v>3230</v>
      </c>
      <c r="AA56" s="1">
        <f t="shared" si="9"/>
        <v>50</v>
      </c>
      <c r="AB56" s="1">
        <f t="shared" si="21"/>
        <v>1690</v>
      </c>
      <c r="AC56" s="1">
        <v>2876</v>
      </c>
      <c r="AD56" s="1">
        <f t="shared" si="13"/>
        <v>45370</v>
      </c>
      <c r="AE56" s="1">
        <v>0</v>
      </c>
    </row>
    <row r="57" spans="1:49">
      <c r="A57">
        <f t="shared" si="31"/>
        <v>2019</v>
      </c>
      <c r="B57">
        <f t="shared" si="32"/>
        <v>11</v>
      </c>
      <c r="C57" s="1">
        <f t="shared" si="42"/>
        <v>276618</v>
      </c>
      <c r="D57" s="1">
        <f>F57-R57</f>
        <v>276618</v>
      </c>
      <c r="F57" s="1">
        <f t="shared" si="0"/>
        <v>402405</v>
      </c>
      <c r="G57" s="1">
        <f t="shared" si="1"/>
        <v>402405</v>
      </c>
      <c r="H57" s="1">
        <f t="shared" si="2"/>
        <v>315155</v>
      </c>
      <c r="I57" s="1">
        <f t="shared" si="37"/>
        <v>261530</v>
      </c>
      <c r="J57" s="1">
        <v>53625</v>
      </c>
      <c r="K57" s="1">
        <v>87250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f t="shared" si="43"/>
        <v>125787</v>
      </c>
      <c r="S57" s="1">
        <f>FLOOR((G57)*IF(B57&lt;=3,VLOOKUP(A57-1,割合!A:B,2,FALSE),VLOOKUP(A57,割合!A:B,2,FALSE)),1)</f>
        <v>1207</v>
      </c>
      <c r="T57" s="1">
        <f t="shared" si="41"/>
        <v>31110</v>
      </c>
      <c r="U57" s="1">
        <f t="shared" si="33"/>
        <v>8103</v>
      </c>
      <c r="V57" s="1">
        <f t="shared" si="34"/>
        <v>4885</v>
      </c>
      <c r="W57" s="1">
        <v>0</v>
      </c>
      <c r="X57" s="1">
        <v>7260</v>
      </c>
      <c r="Y57" s="1">
        <f t="shared" si="58"/>
        <v>20100</v>
      </c>
      <c r="Z57" s="1">
        <f t="shared" si="27"/>
        <v>3230</v>
      </c>
      <c r="AA57" s="1">
        <f t="shared" si="9"/>
        <v>50</v>
      </c>
      <c r="AB57" s="1">
        <f t="shared" si="21"/>
        <v>1690</v>
      </c>
      <c r="AC57" s="1">
        <v>2782</v>
      </c>
      <c r="AD57" s="1">
        <f t="shared" si="13"/>
        <v>45370</v>
      </c>
      <c r="AE57" s="1">
        <v>0</v>
      </c>
    </row>
    <row r="58" spans="1:49">
      <c r="A58">
        <f t="shared" si="31"/>
        <v>2019</v>
      </c>
      <c r="B58">
        <f t="shared" si="32"/>
        <v>12</v>
      </c>
      <c r="C58" s="1">
        <f t="shared" si="42"/>
        <v>767452</v>
      </c>
      <c r="D58" s="1">
        <f>F58-R58</f>
        <v>193462</v>
      </c>
      <c r="E58" s="1">
        <f t="shared" ref="E58" si="59">AF58-AJ58</f>
        <v>573990</v>
      </c>
      <c r="F58" s="1">
        <f t="shared" si="0"/>
        <v>306039</v>
      </c>
      <c r="G58" s="1">
        <f t="shared" si="1"/>
        <v>306039</v>
      </c>
      <c r="H58" s="1">
        <f t="shared" si="2"/>
        <v>306039</v>
      </c>
      <c r="I58" s="1">
        <f t="shared" si="37"/>
        <v>261530</v>
      </c>
      <c r="J58" s="1">
        <v>44509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f t="shared" si="43"/>
        <v>112577</v>
      </c>
      <c r="S58" s="1">
        <f>FLOOR((G58)*IF(B58&lt;=3,VLOOKUP(A58-1,割合!A:B,2,FALSE),VLOOKUP(A58,割合!A:B,2,FALSE)),1)</f>
        <v>918</v>
      </c>
      <c r="T58" s="1">
        <f t="shared" si="41"/>
        <v>31110</v>
      </c>
      <c r="U58" s="1">
        <f t="shared" si="33"/>
        <v>8103</v>
      </c>
      <c r="V58" s="1">
        <f t="shared" si="34"/>
        <v>4885</v>
      </c>
      <c r="W58" s="1">
        <v>0</v>
      </c>
      <c r="X58" s="1">
        <v>-5307</v>
      </c>
      <c r="Y58" s="1">
        <f t="shared" si="58"/>
        <v>20100</v>
      </c>
      <c r="Z58" s="1">
        <f t="shared" si="27"/>
        <v>3230</v>
      </c>
      <c r="AA58" s="1">
        <f t="shared" si="9"/>
        <v>50</v>
      </c>
      <c r="AB58" s="1">
        <f t="shared" si="21"/>
        <v>1690</v>
      </c>
      <c r="AC58" s="1">
        <v>2428</v>
      </c>
      <c r="AD58" s="1">
        <f t="shared" si="13"/>
        <v>45370</v>
      </c>
      <c r="AE58" s="1">
        <v>0</v>
      </c>
      <c r="AF58" s="1">
        <f t="shared" ref="AF58" si="60">SUM(AG58:AI58)</f>
        <v>705000</v>
      </c>
      <c r="AG58" s="1">
        <v>310000</v>
      </c>
      <c r="AH58" s="1">
        <v>316000</v>
      </c>
      <c r="AI58" s="1">
        <v>79000</v>
      </c>
      <c r="AJ58" s="1">
        <f t="shared" ref="AJ58" si="61">SUM(AK58:AP58)</f>
        <v>131010</v>
      </c>
      <c r="AK58" s="1">
        <f>FLOOR(AF58*VLOOKUP(A58,割合!A:B,2,FALSE),1)</f>
        <v>2115</v>
      </c>
      <c r="AL58" s="1">
        <v>64507</v>
      </c>
      <c r="AM58" s="1">
        <v>16801</v>
      </c>
      <c r="AN58" s="1">
        <v>10130</v>
      </c>
      <c r="AO58" s="1">
        <v>0</v>
      </c>
      <c r="AP58" s="1">
        <v>37457</v>
      </c>
      <c r="AQ58" s="1">
        <f>SUM(H47:H58)+SUM(AF47:AF58)</f>
        <v>5180281</v>
      </c>
      <c r="AR58" s="1">
        <f t="shared" ref="AR58" si="62">AQ58-AQ46</f>
        <v>118244</v>
      </c>
      <c r="AS58" s="1">
        <f t="shared" ref="AS58" si="63">AR58/12</f>
        <v>9853.6666666666661</v>
      </c>
      <c r="AT58" s="1">
        <f>SUM(C47:C58)+SUM(AC47:AE58)</f>
        <v>4213529</v>
      </c>
      <c r="AU58" s="1">
        <f t="shared" ref="AU58" si="64">AT58-AT46</f>
        <v>126158</v>
      </c>
      <c r="AV58" s="1">
        <f t="shared" ref="AV58" si="65">AU58/12</f>
        <v>10513.166666666666</v>
      </c>
      <c r="AW58" s="3">
        <f>AT58/AQ58</f>
        <v>0.81337846344628795</v>
      </c>
    </row>
    <row r="59" spans="1:49">
      <c r="A59">
        <f t="shared" si="31"/>
        <v>2020</v>
      </c>
      <c r="B59">
        <f t="shared" si="32"/>
        <v>1</v>
      </c>
      <c r="C59" s="1">
        <f t="shared" si="42"/>
        <v>196456</v>
      </c>
      <c r="D59" s="1">
        <f>F59-R59</f>
        <v>196456</v>
      </c>
      <c r="F59" s="1">
        <f t="shared" si="0"/>
        <v>322842</v>
      </c>
      <c r="G59" s="1">
        <f t="shared" si="1"/>
        <v>321842</v>
      </c>
      <c r="H59" s="1">
        <f t="shared" si="2"/>
        <v>322842</v>
      </c>
      <c r="I59" s="1">
        <f t="shared" si="37"/>
        <v>261530</v>
      </c>
      <c r="J59" s="1">
        <v>60312</v>
      </c>
      <c r="K59" s="1">
        <v>0</v>
      </c>
      <c r="L59" s="1">
        <v>0</v>
      </c>
      <c r="M59" s="1">
        <v>0</v>
      </c>
      <c r="N59" s="1">
        <v>1000</v>
      </c>
      <c r="O59" s="1">
        <v>0</v>
      </c>
      <c r="P59" s="1">
        <v>0</v>
      </c>
      <c r="Q59" s="1">
        <v>0</v>
      </c>
      <c r="R59" s="1">
        <f t="shared" si="43"/>
        <v>126386</v>
      </c>
      <c r="S59" s="1">
        <f>FLOOR((G59)*IF(B59&lt;=3,VLOOKUP(A59-1,割合!A:B,2,FALSE),VLOOKUP(A59,割合!A:B,2,FALSE)),1)</f>
        <v>965</v>
      </c>
      <c r="T59" s="1">
        <f t="shared" si="41"/>
        <v>31110</v>
      </c>
      <c r="U59" s="1">
        <f t="shared" si="33"/>
        <v>8103</v>
      </c>
      <c r="V59" s="1">
        <f t="shared" si="34"/>
        <v>4885</v>
      </c>
      <c r="W59" s="1">
        <v>0</v>
      </c>
      <c r="X59" s="1">
        <v>7540</v>
      </c>
      <c r="Y59" s="1">
        <f t="shared" si="58"/>
        <v>20100</v>
      </c>
      <c r="Z59" s="1">
        <f t="shared" si="27"/>
        <v>3230</v>
      </c>
      <c r="AA59" s="1">
        <f t="shared" si="9"/>
        <v>50</v>
      </c>
      <c r="AB59" s="1">
        <v>1770</v>
      </c>
      <c r="AC59" s="1">
        <v>3263</v>
      </c>
      <c r="AD59" s="1">
        <f t="shared" si="13"/>
        <v>45370</v>
      </c>
      <c r="AE59" s="1">
        <v>0</v>
      </c>
    </row>
    <row r="60" spans="1:49">
      <c r="A60">
        <f t="shared" si="31"/>
        <v>2020</v>
      </c>
      <c r="B60">
        <f t="shared" si="32"/>
        <v>2</v>
      </c>
      <c r="C60" s="1">
        <f t="shared" si="42"/>
        <v>212488</v>
      </c>
      <c r="D60" s="1">
        <f>F60-R60</f>
        <v>212488</v>
      </c>
      <c r="F60" s="1">
        <f t="shared" si="0"/>
        <v>337081</v>
      </c>
      <c r="G60" s="1">
        <f t="shared" si="1"/>
        <v>337081</v>
      </c>
      <c r="H60" s="1">
        <f t="shared" si="2"/>
        <v>337081</v>
      </c>
      <c r="I60" s="1">
        <f t="shared" si="37"/>
        <v>261530</v>
      </c>
      <c r="J60" s="1">
        <v>75551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f t="shared" si="43"/>
        <v>124593</v>
      </c>
      <c r="S60" s="1">
        <f>FLOOR((G60)*IF(B60&lt;=3,VLOOKUP(A60-1,割合!A:B,2,FALSE),VLOOKUP(A60,割合!A:B,2,FALSE)),1)</f>
        <v>1011</v>
      </c>
      <c r="T60" s="1">
        <f t="shared" si="41"/>
        <v>31110</v>
      </c>
      <c r="U60" s="1">
        <f t="shared" si="33"/>
        <v>8103</v>
      </c>
      <c r="V60" s="1">
        <f t="shared" si="34"/>
        <v>4885</v>
      </c>
      <c r="W60" s="1">
        <v>0</v>
      </c>
      <c r="X60" s="1">
        <v>8050</v>
      </c>
      <c r="Y60" s="1">
        <f t="shared" si="58"/>
        <v>20100</v>
      </c>
      <c r="Z60" s="1">
        <f t="shared" si="27"/>
        <v>3230</v>
      </c>
      <c r="AA60" s="1">
        <f t="shared" si="9"/>
        <v>50</v>
      </c>
      <c r="AB60" s="1">
        <f t="shared" si="21"/>
        <v>1770</v>
      </c>
      <c r="AC60" s="1">
        <v>914</v>
      </c>
      <c r="AD60" s="1">
        <f t="shared" si="13"/>
        <v>45370</v>
      </c>
      <c r="AE60" s="1">
        <v>0</v>
      </c>
    </row>
    <row r="61" spans="1:49">
      <c r="A61">
        <f t="shared" si="31"/>
        <v>2020</v>
      </c>
      <c r="B61">
        <f t="shared" si="32"/>
        <v>3</v>
      </c>
      <c r="C61" s="1">
        <f t="shared" si="42"/>
        <v>215829</v>
      </c>
      <c r="D61" s="1">
        <f>F61-R61</f>
        <v>215829</v>
      </c>
      <c r="F61" s="1">
        <f t="shared" si="0"/>
        <v>341979</v>
      </c>
      <c r="G61" s="1">
        <f t="shared" si="1"/>
        <v>341979</v>
      </c>
      <c r="H61" s="1">
        <f t="shared" si="2"/>
        <v>341979</v>
      </c>
      <c r="I61" s="1">
        <f t="shared" si="37"/>
        <v>261530</v>
      </c>
      <c r="J61" s="1">
        <v>80449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f t="shared" si="43"/>
        <v>126150</v>
      </c>
      <c r="S61" s="1">
        <f>FLOOR((G61)*IF(B61&lt;=3,VLOOKUP(A61-1,割合!A:B,2,FALSE),VLOOKUP(A61,割合!A:B,2,FALSE)),1)</f>
        <v>1025</v>
      </c>
      <c r="T61" s="1">
        <f t="shared" si="41"/>
        <v>31110</v>
      </c>
      <c r="U61" s="1">
        <f t="shared" si="33"/>
        <v>8103</v>
      </c>
      <c r="V61" s="1">
        <f t="shared" si="34"/>
        <v>4885</v>
      </c>
      <c r="W61" s="1">
        <v>0</v>
      </c>
      <c r="X61" s="1">
        <v>8230</v>
      </c>
      <c r="Y61" s="1">
        <f t="shared" si="58"/>
        <v>20100</v>
      </c>
      <c r="Z61" s="1">
        <f t="shared" si="27"/>
        <v>3230</v>
      </c>
      <c r="AA61" s="1">
        <f t="shared" si="9"/>
        <v>50</v>
      </c>
      <c r="AB61" s="1">
        <f t="shared" si="21"/>
        <v>1770</v>
      </c>
      <c r="AC61" s="1">
        <v>2277</v>
      </c>
      <c r="AD61" s="1">
        <f t="shared" si="13"/>
        <v>45370</v>
      </c>
      <c r="AE61" s="1">
        <v>0</v>
      </c>
    </row>
    <row r="62" spans="1:49">
      <c r="A62">
        <f t="shared" si="31"/>
        <v>2020</v>
      </c>
      <c r="B62">
        <f t="shared" si="32"/>
        <v>4</v>
      </c>
      <c r="C62" s="1">
        <f t="shared" si="42"/>
        <v>218298</v>
      </c>
      <c r="D62" s="1">
        <f>F62-R62</f>
        <v>218298</v>
      </c>
      <c r="F62" s="1">
        <f t="shared" si="0"/>
        <v>344194</v>
      </c>
      <c r="G62" s="1">
        <f t="shared" si="1"/>
        <v>344194</v>
      </c>
      <c r="H62" s="1">
        <f t="shared" si="2"/>
        <v>344194</v>
      </c>
      <c r="I62" s="1">
        <v>268230</v>
      </c>
      <c r="J62" s="1">
        <v>75964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f t="shared" si="43"/>
        <v>125896</v>
      </c>
      <c r="S62" s="1">
        <f>FLOOR((G62)*IF(B62&lt;=3,VLOOKUP(A62-1,割合!A:B,2,FALSE),VLOOKUP(A62,割合!A:B,2,FALSE)),1)</f>
        <v>1032</v>
      </c>
      <c r="T62" s="1">
        <f t="shared" si="41"/>
        <v>31110</v>
      </c>
      <c r="U62" s="1">
        <f t="shared" si="33"/>
        <v>8103</v>
      </c>
      <c r="V62" s="1">
        <f t="shared" si="34"/>
        <v>4885</v>
      </c>
      <c r="W62" s="1">
        <v>0</v>
      </c>
      <c r="X62" s="1">
        <v>8310</v>
      </c>
      <c r="Y62" s="1">
        <f t="shared" si="58"/>
        <v>20100</v>
      </c>
      <c r="Z62" s="1">
        <v>3310</v>
      </c>
      <c r="AA62" s="1">
        <f t="shared" si="9"/>
        <v>50</v>
      </c>
      <c r="AB62" s="1">
        <f t="shared" si="21"/>
        <v>1770</v>
      </c>
      <c r="AC62" s="1">
        <v>1856</v>
      </c>
      <c r="AD62" s="1">
        <f t="shared" si="13"/>
        <v>45370</v>
      </c>
      <c r="AE62" s="1">
        <v>0</v>
      </c>
    </row>
    <row r="63" spans="1:49">
      <c r="A63">
        <f t="shared" si="31"/>
        <v>2020</v>
      </c>
      <c r="B63">
        <f t="shared" si="32"/>
        <v>5</v>
      </c>
      <c r="C63" s="1">
        <f t="shared" si="42"/>
        <v>308639</v>
      </c>
      <c r="D63" s="1">
        <f>F63-R63</f>
        <v>308639</v>
      </c>
      <c r="F63" s="1">
        <f t="shared" si="0"/>
        <v>444101</v>
      </c>
      <c r="G63" s="1">
        <f t="shared" si="1"/>
        <v>444101</v>
      </c>
      <c r="H63" s="1">
        <f t="shared" si="2"/>
        <v>356851</v>
      </c>
      <c r="I63" s="1">
        <f t="shared" si="37"/>
        <v>268230</v>
      </c>
      <c r="J63" s="1">
        <v>88621</v>
      </c>
      <c r="K63" s="1">
        <v>87250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f t="shared" si="43"/>
        <v>135462</v>
      </c>
      <c r="S63" s="1">
        <f>FLOOR((G63)*IF(B63&lt;=3,VLOOKUP(A63-1,割合!A:B,2,FALSE),VLOOKUP(A63,割合!A:B,2,FALSE)),1)</f>
        <v>1332</v>
      </c>
      <c r="T63" s="1">
        <f t="shared" si="41"/>
        <v>31110</v>
      </c>
      <c r="U63" s="1">
        <v>7508</v>
      </c>
      <c r="V63" s="1">
        <v>4800</v>
      </c>
      <c r="W63" s="1">
        <v>0</v>
      </c>
      <c r="X63" s="1">
        <v>9370</v>
      </c>
      <c r="Y63" s="1">
        <f t="shared" si="58"/>
        <v>20100</v>
      </c>
      <c r="Z63" s="1">
        <f t="shared" si="27"/>
        <v>3310</v>
      </c>
      <c r="AA63" s="1">
        <f t="shared" si="9"/>
        <v>50</v>
      </c>
      <c r="AB63" s="1">
        <f t="shared" si="21"/>
        <v>1770</v>
      </c>
      <c r="AC63" s="1">
        <v>240</v>
      </c>
      <c r="AD63" s="1">
        <v>49170</v>
      </c>
      <c r="AE63" s="1">
        <v>6702</v>
      </c>
    </row>
    <row r="64" spans="1:49">
      <c r="A64">
        <f t="shared" si="31"/>
        <v>2020</v>
      </c>
      <c r="B64">
        <f t="shared" si="32"/>
        <v>6</v>
      </c>
      <c r="C64" s="1">
        <f t="shared" si="42"/>
        <v>754168</v>
      </c>
      <c r="D64" s="1">
        <f>F64-R64</f>
        <v>116330</v>
      </c>
      <c r="E64" s="1">
        <f t="shared" ref="E64" si="66">AF64-AJ64</f>
        <v>637838</v>
      </c>
      <c r="F64" s="1">
        <f t="shared" si="0"/>
        <v>244511</v>
      </c>
      <c r="G64" s="1">
        <f t="shared" si="1"/>
        <v>244511</v>
      </c>
      <c r="H64" s="1">
        <f t="shared" si="2"/>
        <v>321301</v>
      </c>
      <c r="I64" s="1">
        <f t="shared" si="37"/>
        <v>268230</v>
      </c>
      <c r="J64" s="1">
        <v>53071</v>
      </c>
      <c r="K64" s="1">
        <v>-76790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f t="shared" si="43"/>
        <v>128181</v>
      </c>
      <c r="S64" s="1">
        <f>FLOOR((G64)*IF(B64&lt;=3,VLOOKUP(A64-1,割合!A:B,2,FALSE),VLOOKUP(A64,割合!A:B,2,FALSE)),1)</f>
        <v>733</v>
      </c>
      <c r="T64" s="1">
        <f t="shared" si="41"/>
        <v>31110</v>
      </c>
      <c r="U64" s="1">
        <f t="shared" si="33"/>
        <v>7508</v>
      </c>
      <c r="V64" s="1">
        <f t="shared" si="34"/>
        <v>4800</v>
      </c>
      <c r="W64" s="1">
        <v>0</v>
      </c>
      <c r="X64" s="1">
        <v>7520</v>
      </c>
      <c r="Y64" s="1">
        <v>22100</v>
      </c>
      <c r="Z64" s="1">
        <f t="shared" si="27"/>
        <v>3310</v>
      </c>
      <c r="AA64" s="1">
        <f t="shared" si="9"/>
        <v>50</v>
      </c>
      <c r="AB64" s="1">
        <f t="shared" si="21"/>
        <v>1770</v>
      </c>
      <c r="AC64" s="1">
        <v>110</v>
      </c>
      <c r="AD64" s="1">
        <f t="shared" si="13"/>
        <v>49170</v>
      </c>
      <c r="AE64" s="1">
        <v>0</v>
      </c>
      <c r="AF64" s="1">
        <f t="shared" ref="AF64" si="67">SUM(AG64:AI64)</f>
        <v>799000</v>
      </c>
      <c r="AG64" s="1">
        <v>310000</v>
      </c>
      <c r="AH64" s="1">
        <v>385000</v>
      </c>
      <c r="AI64" s="1">
        <v>104000</v>
      </c>
      <c r="AJ64" s="1">
        <f t="shared" ref="AJ64" si="68">SUM(AK64:AP64)</f>
        <v>161162</v>
      </c>
      <c r="AK64" s="1">
        <f>FLOOR(AF64*VLOOKUP(A64,割合!A:B,2,FALSE),1)</f>
        <v>2397</v>
      </c>
      <c r="AL64" s="1">
        <v>73108</v>
      </c>
      <c r="AM64" s="1">
        <v>17642</v>
      </c>
      <c r="AN64" s="1">
        <v>11281</v>
      </c>
      <c r="AO64" s="1">
        <v>0</v>
      </c>
      <c r="AP64" s="1">
        <v>56734</v>
      </c>
    </row>
    <row r="65" spans="1:49">
      <c r="A65">
        <f t="shared" si="31"/>
        <v>2020</v>
      </c>
      <c r="B65">
        <f t="shared" si="32"/>
        <v>7</v>
      </c>
      <c r="C65" s="1">
        <f t="shared" si="42"/>
        <v>175204</v>
      </c>
      <c r="D65" s="1">
        <f>F65-R65</f>
        <v>175204</v>
      </c>
      <c r="F65" s="1">
        <f t="shared" si="0"/>
        <v>312835</v>
      </c>
      <c r="G65" s="1">
        <f t="shared" si="1"/>
        <v>312835</v>
      </c>
      <c r="H65" s="1">
        <f t="shared" si="2"/>
        <v>312835</v>
      </c>
      <c r="I65" s="1">
        <f t="shared" si="37"/>
        <v>268230</v>
      </c>
      <c r="J65" s="1">
        <v>44605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f t="shared" si="43"/>
        <v>137631</v>
      </c>
      <c r="S65" s="1">
        <f>FLOOR((G65)*IF(B65&lt;=3,VLOOKUP(A65-1,割合!A:B,2,FALSE),VLOOKUP(A65,割合!A:B,2,FALSE)),1)</f>
        <v>938</v>
      </c>
      <c r="T65" s="1">
        <f t="shared" si="41"/>
        <v>31110</v>
      </c>
      <c r="U65" s="1">
        <f t="shared" si="33"/>
        <v>7508</v>
      </c>
      <c r="V65" s="1">
        <f t="shared" si="34"/>
        <v>4800</v>
      </c>
      <c r="W65" s="1">
        <v>0</v>
      </c>
      <c r="X65" s="1">
        <v>7210</v>
      </c>
      <c r="Y65" s="1">
        <v>21100</v>
      </c>
      <c r="Z65" s="1">
        <f t="shared" si="27"/>
        <v>3310</v>
      </c>
      <c r="AA65" s="1">
        <f t="shared" si="9"/>
        <v>50</v>
      </c>
      <c r="AB65" s="1">
        <f t="shared" si="21"/>
        <v>1770</v>
      </c>
      <c r="AC65" s="1">
        <v>5260</v>
      </c>
      <c r="AD65" s="1">
        <f t="shared" si="13"/>
        <v>49170</v>
      </c>
      <c r="AE65" s="1">
        <v>5405</v>
      </c>
    </row>
    <row r="66" spans="1:49">
      <c r="A66">
        <f t="shared" si="31"/>
        <v>2020</v>
      </c>
      <c r="B66">
        <f t="shared" si="32"/>
        <v>8</v>
      </c>
      <c r="C66" s="1">
        <f t="shared" si="42"/>
        <v>209646</v>
      </c>
      <c r="D66" s="1">
        <f>F66-R66</f>
        <v>209646</v>
      </c>
      <c r="F66" s="1">
        <f t="shared" ref="F66:F129" si="69">SUM(I66:P66)</f>
        <v>337566</v>
      </c>
      <c r="G66" s="1">
        <f t="shared" ref="G66:G128" si="70">SUM(I66:O66)-N66-M66</f>
        <v>337566</v>
      </c>
      <c r="H66" s="1">
        <f t="shared" ref="H66:H129" si="71">SUM(I66:O66)-SUM(K66:K66)+Q66</f>
        <v>337566</v>
      </c>
      <c r="I66" s="1">
        <f t="shared" si="37"/>
        <v>268230</v>
      </c>
      <c r="J66" s="1">
        <v>69336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f t="shared" si="43"/>
        <v>127920</v>
      </c>
      <c r="S66" s="1">
        <f>FLOOR((G66)*IF(B66&lt;=3,VLOOKUP(A66-1,割合!A:B,2,FALSE),VLOOKUP(A66,割合!A:B,2,FALSE)),1)</f>
        <v>1012</v>
      </c>
      <c r="T66" s="1">
        <f t="shared" si="41"/>
        <v>31110</v>
      </c>
      <c r="U66" s="1">
        <f t="shared" si="33"/>
        <v>7508</v>
      </c>
      <c r="V66" s="1">
        <f t="shared" si="34"/>
        <v>4800</v>
      </c>
      <c r="W66" s="1">
        <v>0</v>
      </c>
      <c r="X66" s="1">
        <v>8090</v>
      </c>
      <c r="Y66" s="1">
        <f t="shared" ref="Y66:Y75" si="72">Y65</f>
        <v>21100</v>
      </c>
      <c r="Z66" s="1">
        <f t="shared" si="27"/>
        <v>3310</v>
      </c>
      <c r="AA66" s="1">
        <f t="shared" si="9"/>
        <v>50</v>
      </c>
      <c r="AB66" s="1">
        <f t="shared" si="21"/>
        <v>1770</v>
      </c>
      <c r="AC66" s="1">
        <v>0</v>
      </c>
      <c r="AD66" s="1">
        <f t="shared" si="13"/>
        <v>49170</v>
      </c>
      <c r="AE66" s="1">
        <v>0</v>
      </c>
    </row>
    <row r="67" spans="1:49">
      <c r="A67">
        <f t="shared" si="31"/>
        <v>2020</v>
      </c>
      <c r="B67">
        <f t="shared" si="32"/>
        <v>9</v>
      </c>
      <c r="C67" s="1">
        <f t="shared" si="42"/>
        <v>190528</v>
      </c>
      <c r="D67" s="1">
        <f>F67-R67</f>
        <v>190528</v>
      </c>
      <c r="F67" s="1">
        <f t="shared" si="69"/>
        <v>314349</v>
      </c>
      <c r="G67" s="1">
        <f t="shared" si="70"/>
        <v>314349</v>
      </c>
      <c r="H67" s="1">
        <f t="shared" si="71"/>
        <v>314349</v>
      </c>
      <c r="I67" s="1">
        <f t="shared" si="37"/>
        <v>268230</v>
      </c>
      <c r="J67" s="1">
        <v>46119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f t="shared" si="43"/>
        <v>123821</v>
      </c>
      <c r="S67" s="1">
        <f>FLOOR((G67)*IF(B67&lt;=3,VLOOKUP(A67-1,割合!A:B,2,FALSE),VLOOKUP(A67,割合!A:B,2,FALSE)),1)</f>
        <v>943</v>
      </c>
      <c r="T67" s="1">
        <f t="shared" si="41"/>
        <v>31110</v>
      </c>
      <c r="U67" s="1">
        <f t="shared" si="33"/>
        <v>7508</v>
      </c>
      <c r="V67" s="1">
        <f t="shared" si="34"/>
        <v>4800</v>
      </c>
      <c r="W67" s="1">
        <v>0</v>
      </c>
      <c r="X67" s="1">
        <v>7270</v>
      </c>
      <c r="Y67" s="1">
        <f t="shared" si="72"/>
        <v>21100</v>
      </c>
      <c r="Z67" s="1">
        <v>100</v>
      </c>
      <c r="AA67" s="1">
        <f t="shared" si="9"/>
        <v>50</v>
      </c>
      <c r="AB67" s="1">
        <f t="shared" si="21"/>
        <v>1770</v>
      </c>
      <c r="AC67" s="1">
        <v>0</v>
      </c>
      <c r="AD67" s="1">
        <f t="shared" si="13"/>
        <v>49170</v>
      </c>
      <c r="AE67" s="1">
        <v>0</v>
      </c>
    </row>
    <row r="68" spans="1:49">
      <c r="A68">
        <f t="shared" si="31"/>
        <v>2020</v>
      </c>
      <c r="B68">
        <f t="shared" si="32"/>
        <v>10</v>
      </c>
      <c r="C68" s="1">
        <f t="shared" si="42"/>
        <v>194105</v>
      </c>
      <c r="D68" s="1">
        <f>F68-R68</f>
        <v>194105</v>
      </c>
      <c r="F68" s="1">
        <f t="shared" si="69"/>
        <v>318067</v>
      </c>
      <c r="G68" s="1">
        <f t="shared" si="70"/>
        <v>318067</v>
      </c>
      <c r="H68" s="1">
        <f t="shared" si="71"/>
        <v>318067</v>
      </c>
      <c r="I68" s="1">
        <f t="shared" si="37"/>
        <v>268230</v>
      </c>
      <c r="J68" s="1">
        <v>49837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f t="shared" si="43"/>
        <v>123962</v>
      </c>
      <c r="S68" s="1">
        <f>FLOOR((G68)*IF(B68&lt;=3,VLOOKUP(A68-1,割合!A:B,2,FALSE),VLOOKUP(A68,割合!A:B,2,FALSE)),1)</f>
        <v>954</v>
      </c>
      <c r="T68" s="1">
        <f t="shared" si="41"/>
        <v>31110</v>
      </c>
      <c r="U68" s="1">
        <f t="shared" si="33"/>
        <v>7508</v>
      </c>
      <c r="V68" s="1">
        <f t="shared" si="34"/>
        <v>4800</v>
      </c>
      <c r="W68" s="1">
        <v>0</v>
      </c>
      <c r="X68" s="1">
        <v>7400</v>
      </c>
      <c r="Y68" s="1">
        <f t="shared" si="72"/>
        <v>21100</v>
      </c>
      <c r="Z68" s="1">
        <v>100</v>
      </c>
      <c r="AA68" s="1">
        <f t="shared" ref="AA68:AA110" si="73">AA67</f>
        <v>50</v>
      </c>
      <c r="AB68" s="1">
        <f t="shared" si="21"/>
        <v>1770</v>
      </c>
      <c r="AC68" s="1">
        <v>0</v>
      </c>
      <c r="AD68" s="1">
        <f t="shared" si="13"/>
        <v>49170</v>
      </c>
      <c r="AE68" s="1">
        <v>0</v>
      </c>
    </row>
    <row r="69" spans="1:49">
      <c r="A69">
        <f t="shared" si="31"/>
        <v>2020</v>
      </c>
      <c r="B69">
        <f t="shared" si="32"/>
        <v>11</v>
      </c>
      <c r="C69" s="1">
        <f t="shared" si="42"/>
        <v>210232</v>
      </c>
      <c r="D69" s="1">
        <f>F69-R69</f>
        <v>210232</v>
      </c>
      <c r="F69" s="1">
        <f t="shared" si="69"/>
        <v>338174</v>
      </c>
      <c r="G69" s="1">
        <f t="shared" si="70"/>
        <v>338174</v>
      </c>
      <c r="H69" s="1">
        <f t="shared" si="71"/>
        <v>338174</v>
      </c>
      <c r="I69" s="1">
        <f t="shared" si="37"/>
        <v>268230</v>
      </c>
      <c r="J69" s="1">
        <v>69944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f t="shared" si="43"/>
        <v>127942</v>
      </c>
      <c r="S69" s="1">
        <f>FLOOR((G69)*IF(B69&lt;=3,VLOOKUP(A69-1,割合!A:B,2,FALSE),VLOOKUP(A69,割合!A:B,2,FALSE)),1)</f>
        <v>1014</v>
      </c>
      <c r="T69" s="1">
        <f t="shared" si="41"/>
        <v>31110</v>
      </c>
      <c r="U69" s="1">
        <f t="shared" si="33"/>
        <v>7508</v>
      </c>
      <c r="V69" s="1">
        <f t="shared" si="34"/>
        <v>4800</v>
      </c>
      <c r="W69" s="1">
        <v>0</v>
      </c>
      <c r="X69" s="1">
        <v>8110</v>
      </c>
      <c r="Y69" s="1">
        <f t="shared" si="72"/>
        <v>21100</v>
      </c>
      <c r="Z69" s="1">
        <v>3310</v>
      </c>
      <c r="AA69" s="1">
        <f t="shared" si="73"/>
        <v>50</v>
      </c>
      <c r="AB69" s="1">
        <f t="shared" si="21"/>
        <v>1770</v>
      </c>
      <c r="AC69" s="1">
        <v>0</v>
      </c>
      <c r="AD69" s="1">
        <f t="shared" si="13"/>
        <v>49170</v>
      </c>
      <c r="AE69" s="1">
        <v>0</v>
      </c>
    </row>
    <row r="70" spans="1:49">
      <c r="A70">
        <f t="shared" si="31"/>
        <v>2020</v>
      </c>
      <c r="B70">
        <f t="shared" si="32"/>
        <v>12</v>
      </c>
      <c r="C70" s="1">
        <f t="shared" si="42"/>
        <v>808293</v>
      </c>
      <c r="D70" s="1">
        <f>F70-R70</f>
        <v>209313</v>
      </c>
      <c r="E70" s="1">
        <f t="shared" ref="E70" si="74">AF70-AJ70</f>
        <v>598980</v>
      </c>
      <c r="F70" s="1">
        <f t="shared" si="69"/>
        <v>317364</v>
      </c>
      <c r="G70" s="1">
        <f t="shared" si="70"/>
        <v>317364</v>
      </c>
      <c r="H70" s="1">
        <f t="shared" si="71"/>
        <v>317364</v>
      </c>
      <c r="I70" s="1">
        <f t="shared" si="37"/>
        <v>268230</v>
      </c>
      <c r="J70" s="1">
        <v>49134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f t="shared" si="43"/>
        <v>108051</v>
      </c>
      <c r="S70" s="1">
        <f>FLOOR((G70)*IF(B70&lt;=3,VLOOKUP(A70-1,割合!A:B,2,FALSE),VLOOKUP(A70,割合!A:B,2,FALSE)),1)</f>
        <v>952</v>
      </c>
      <c r="T70" s="1">
        <f t="shared" si="41"/>
        <v>31110</v>
      </c>
      <c r="U70" s="1">
        <f t="shared" si="33"/>
        <v>7508</v>
      </c>
      <c r="V70" s="1">
        <f t="shared" si="34"/>
        <v>4800</v>
      </c>
      <c r="W70" s="1">
        <v>0</v>
      </c>
      <c r="X70" s="1">
        <v>-11719</v>
      </c>
      <c r="Y70" s="1">
        <f t="shared" si="72"/>
        <v>21100</v>
      </c>
      <c r="Z70" s="1">
        <f t="shared" si="27"/>
        <v>3310</v>
      </c>
      <c r="AA70" s="1">
        <f t="shared" si="73"/>
        <v>50</v>
      </c>
      <c r="AB70" s="1">
        <f t="shared" si="21"/>
        <v>1770</v>
      </c>
      <c r="AC70" s="1">
        <v>0</v>
      </c>
      <c r="AD70" s="1">
        <f t="shared" si="13"/>
        <v>49170</v>
      </c>
      <c r="AE70" s="1">
        <v>0</v>
      </c>
      <c r="AF70" s="1">
        <f t="shared" ref="AF70" si="75">SUM(AG70:AI70)</f>
        <v>734000</v>
      </c>
      <c r="AG70" s="1">
        <v>310000</v>
      </c>
      <c r="AH70" s="1">
        <v>385000</v>
      </c>
      <c r="AI70" s="1">
        <v>39000</v>
      </c>
      <c r="AJ70" s="1">
        <f t="shared" ref="AJ70" si="76">SUM(AK70:AP70)</f>
        <v>135020</v>
      </c>
      <c r="AK70" s="1">
        <f>FLOOR(AF70*VLOOKUP(A70,割合!A:B,2,FALSE),1)</f>
        <v>2202</v>
      </c>
      <c r="AL70" s="1">
        <v>67161</v>
      </c>
      <c r="AM70" s="1">
        <v>16206</v>
      </c>
      <c r="AN70" s="1">
        <v>10364</v>
      </c>
      <c r="AO70" s="1">
        <v>0</v>
      </c>
      <c r="AP70" s="1">
        <v>39087</v>
      </c>
      <c r="AQ70" s="1">
        <f>SUM(H59:H70)+SUM(AF59:AF70)</f>
        <v>5495603</v>
      </c>
      <c r="AR70" s="1">
        <f t="shared" ref="AR70" si="77">AQ70-AQ58</f>
        <v>315322</v>
      </c>
      <c r="AS70" s="1">
        <f t="shared" ref="AS70" si="78">AR70/12</f>
        <v>26276.833333333332</v>
      </c>
      <c r="AT70" s="1">
        <f>SUM(C59:C70)+SUM(AC59:AE70)</f>
        <v>4294753</v>
      </c>
      <c r="AU70" s="1">
        <f t="shared" ref="AU70" si="79">AT70-AT58</f>
        <v>81224</v>
      </c>
      <c r="AV70" s="1">
        <f t="shared" ref="AV70" si="80">AU70/12</f>
        <v>6768.666666666667</v>
      </c>
      <c r="AW70" s="3">
        <f>AT70/AQ70</f>
        <v>0.78148894670885072</v>
      </c>
    </row>
    <row r="71" spans="1:49">
      <c r="A71">
        <f t="shared" si="31"/>
        <v>2021</v>
      </c>
      <c r="B71">
        <f t="shared" si="32"/>
        <v>1</v>
      </c>
      <c r="C71" s="1">
        <f t="shared" si="42"/>
        <v>196260</v>
      </c>
      <c r="D71" s="1">
        <f>F71-R71</f>
        <v>196260</v>
      </c>
      <c r="F71" s="1">
        <f t="shared" si="69"/>
        <v>323786</v>
      </c>
      <c r="G71" s="1">
        <f t="shared" si="70"/>
        <v>322786</v>
      </c>
      <c r="H71" s="1">
        <f t="shared" si="71"/>
        <v>323786</v>
      </c>
      <c r="I71" s="1">
        <f t="shared" si="37"/>
        <v>268230</v>
      </c>
      <c r="J71" s="1">
        <v>54556</v>
      </c>
      <c r="K71" s="1">
        <v>0</v>
      </c>
      <c r="L71" s="1">
        <v>0</v>
      </c>
      <c r="M71" s="1">
        <v>0</v>
      </c>
      <c r="N71" s="1">
        <v>1000</v>
      </c>
      <c r="O71" s="1">
        <v>0</v>
      </c>
      <c r="P71" s="1">
        <v>0</v>
      </c>
      <c r="Q71" s="1">
        <v>0</v>
      </c>
      <c r="R71" s="1">
        <f t="shared" si="43"/>
        <v>127526</v>
      </c>
      <c r="S71" s="1">
        <f>FLOOR((G71)*IF(B71&lt;=3,VLOOKUP(A71-1,割合!A:B,2,FALSE),VLOOKUP(A71,割合!A:B,2,FALSE)),1)</f>
        <v>968</v>
      </c>
      <c r="T71" s="1">
        <f t="shared" si="41"/>
        <v>31110</v>
      </c>
      <c r="U71" s="1">
        <f t="shared" si="33"/>
        <v>7508</v>
      </c>
      <c r="V71" s="1">
        <f t="shared" si="34"/>
        <v>4800</v>
      </c>
      <c r="W71" s="1">
        <v>0</v>
      </c>
      <c r="X71" s="1">
        <v>7600</v>
      </c>
      <c r="Y71" s="1">
        <f t="shared" si="72"/>
        <v>21100</v>
      </c>
      <c r="Z71" s="1">
        <f t="shared" si="27"/>
        <v>3310</v>
      </c>
      <c r="AA71" s="1">
        <f t="shared" si="73"/>
        <v>50</v>
      </c>
      <c r="AB71" s="1">
        <v>1910</v>
      </c>
      <c r="AC71" s="1">
        <v>0</v>
      </c>
      <c r="AD71" s="1">
        <f t="shared" ref="AD71" si="81">AD70</f>
        <v>49170</v>
      </c>
      <c r="AE71" s="1">
        <v>0</v>
      </c>
    </row>
    <row r="72" spans="1:49">
      <c r="A72">
        <f t="shared" si="31"/>
        <v>2021</v>
      </c>
      <c r="B72">
        <f t="shared" si="32"/>
        <v>2</v>
      </c>
      <c r="C72" s="1">
        <f t="shared" si="42"/>
        <v>220602</v>
      </c>
      <c r="D72" s="1">
        <f>F72-R72</f>
        <v>220602</v>
      </c>
      <c r="F72" s="1">
        <f t="shared" si="69"/>
        <v>349388</v>
      </c>
      <c r="G72" s="1">
        <f t="shared" si="70"/>
        <v>349388</v>
      </c>
      <c r="H72" s="1">
        <f t="shared" si="71"/>
        <v>349388</v>
      </c>
      <c r="I72" s="1">
        <f t="shared" si="37"/>
        <v>268230</v>
      </c>
      <c r="J72" s="1">
        <v>81158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f t="shared" si="43"/>
        <v>128786</v>
      </c>
      <c r="S72" s="1">
        <f>FLOOR((G72)*IF(B72&lt;=3,VLOOKUP(A72-1,割合!A:B,2,FALSE),VLOOKUP(A72,割合!A:B,2,FALSE)),1)</f>
        <v>1048</v>
      </c>
      <c r="T72" s="1">
        <f t="shared" si="41"/>
        <v>31110</v>
      </c>
      <c r="U72" s="1">
        <f t="shared" si="33"/>
        <v>7508</v>
      </c>
      <c r="V72" s="1">
        <f t="shared" si="34"/>
        <v>4800</v>
      </c>
      <c r="W72" s="1">
        <v>0</v>
      </c>
      <c r="X72" s="1">
        <v>8780</v>
      </c>
      <c r="Y72" s="1">
        <f t="shared" si="72"/>
        <v>21100</v>
      </c>
      <c r="Z72" s="1">
        <f t="shared" si="27"/>
        <v>3310</v>
      </c>
      <c r="AA72" s="1">
        <f t="shared" si="73"/>
        <v>50</v>
      </c>
      <c r="AB72" s="1">
        <f t="shared" si="21"/>
        <v>1910</v>
      </c>
      <c r="AC72" s="1">
        <v>0</v>
      </c>
      <c r="AD72" s="1">
        <f>AD71</f>
        <v>49170</v>
      </c>
      <c r="AE72" s="1">
        <v>0</v>
      </c>
    </row>
    <row r="73" spans="1:49">
      <c r="A73">
        <f t="shared" si="31"/>
        <v>2021</v>
      </c>
      <c r="B73">
        <f t="shared" si="32"/>
        <v>3</v>
      </c>
      <c r="C73" s="1">
        <f t="shared" si="42"/>
        <v>239954</v>
      </c>
      <c r="D73" s="1">
        <f>F73-R73</f>
        <v>239954</v>
      </c>
      <c r="F73" s="1">
        <f t="shared" si="69"/>
        <v>370523</v>
      </c>
      <c r="G73" s="1">
        <f t="shared" si="70"/>
        <v>370523</v>
      </c>
      <c r="H73" s="1">
        <f t="shared" si="71"/>
        <v>370523</v>
      </c>
      <c r="I73" s="1">
        <f t="shared" si="37"/>
        <v>268230</v>
      </c>
      <c r="J73" s="1">
        <v>102293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f t="shared" si="43"/>
        <v>130569</v>
      </c>
      <c r="S73" s="1">
        <f>FLOOR((G73)*IF(B73&lt;=3,VLOOKUP(A73-1,割合!A:B,2,FALSE),VLOOKUP(A73,割合!A:B,2,FALSE)),1)</f>
        <v>1111</v>
      </c>
      <c r="T73" s="1">
        <f t="shared" si="41"/>
        <v>31110</v>
      </c>
      <c r="U73" s="1">
        <f t="shared" si="33"/>
        <v>7508</v>
      </c>
      <c r="V73" s="1">
        <f t="shared" si="34"/>
        <v>4800</v>
      </c>
      <c r="W73" s="1">
        <v>0</v>
      </c>
      <c r="X73" s="1">
        <v>10500</v>
      </c>
      <c r="Y73" s="1">
        <f t="shared" si="72"/>
        <v>21100</v>
      </c>
      <c r="Z73" s="1">
        <f t="shared" si="27"/>
        <v>3310</v>
      </c>
      <c r="AA73" s="1">
        <f t="shared" si="73"/>
        <v>50</v>
      </c>
      <c r="AB73" s="1">
        <f t="shared" si="21"/>
        <v>1910</v>
      </c>
      <c r="AC73" s="1">
        <v>0</v>
      </c>
      <c r="AD73" s="1">
        <f t="shared" ref="AD73:AD136" si="82">AD72</f>
        <v>49170</v>
      </c>
      <c r="AE73" s="1">
        <v>0</v>
      </c>
    </row>
    <row r="74" spans="1:49">
      <c r="A74">
        <f t="shared" si="31"/>
        <v>2021</v>
      </c>
      <c r="B74">
        <f t="shared" si="32"/>
        <v>4</v>
      </c>
      <c r="C74" s="1">
        <f t="shared" si="42"/>
        <v>298975</v>
      </c>
      <c r="D74" s="1">
        <f>F74-R74</f>
        <v>298975</v>
      </c>
      <c r="F74" s="1">
        <f t="shared" si="69"/>
        <v>435288</v>
      </c>
      <c r="G74" s="1">
        <f t="shared" si="70"/>
        <v>435288</v>
      </c>
      <c r="H74" s="1">
        <f t="shared" si="71"/>
        <v>435288</v>
      </c>
      <c r="I74" s="1">
        <v>290000</v>
      </c>
      <c r="J74" s="1">
        <v>90288</v>
      </c>
      <c r="K74" s="1">
        <v>0</v>
      </c>
      <c r="L74" s="1">
        <f>55000</f>
        <v>55000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f t="shared" si="43"/>
        <v>136313</v>
      </c>
      <c r="S74" s="1">
        <f>FLOOR((G74)*IF(B74&lt;=3,VLOOKUP(A74-1,割合!A:B,2,FALSE),VLOOKUP(A74,割合!A:B,2,FALSE)),1)</f>
        <v>1305</v>
      </c>
      <c r="T74" s="1">
        <f t="shared" si="41"/>
        <v>31110</v>
      </c>
      <c r="U74" s="1">
        <v>6528</v>
      </c>
      <c r="V74" s="1">
        <v>5780</v>
      </c>
      <c r="W74" s="1">
        <v>0</v>
      </c>
      <c r="X74" s="1">
        <v>15780</v>
      </c>
      <c r="Y74" s="1">
        <f t="shared" si="72"/>
        <v>21100</v>
      </c>
      <c r="Z74" s="1">
        <v>3580</v>
      </c>
      <c r="AA74" s="1">
        <f t="shared" si="73"/>
        <v>50</v>
      </c>
      <c r="AB74" s="1">
        <f t="shared" si="21"/>
        <v>1910</v>
      </c>
      <c r="AC74" s="1">
        <v>0</v>
      </c>
      <c r="AD74" s="1">
        <f t="shared" si="82"/>
        <v>49170</v>
      </c>
      <c r="AE74" s="1">
        <v>0</v>
      </c>
    </row>
    <row r="75" spans="1:49">
      <c r="A75">
        <f t="shared" si="31"/>
        <v>2021</v>
      </c>
      <c r="B75">
        <f t="shared" si="32"/>
        <v>5</v>
      </c>
      <c r="C75" s="1">
        <f t="shared" si="42"/>
        <v>217328</v>
      </c>
      <c r="D75" s="1">
        <f>F75-R75</f>
        <v>217328</v>
      </c>
      <c r="F75" s="1">
        <f t="shared" si="69"/>
        <v>346164</v>
      </c>
      <c r="G75" s="1">
        <f t="shared" si="70"/>
        <v>346164</v>
      </c>
      <c r="H75" s="1">
        <f t="shared" si="71"/>
        <v>346164</v>
      </c>
      <c r="I75" s="1">
        <f t="shared" si="37"/>
        <v>290000</v>
      </c>
      <c r="J75" s="1">
        <v>1164</v>
      </c>
      <c r="K75" s="1">
        <v>0</v>
      </c>
      <c r="L75" s="1">
        <f>55000</f>
        <v>55000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f t="shared" si="43"/>
        <v>128836</v>
      </c>
      <c r="S75" s="1">
        <f>FLOOR((G75)*IF(B75&lt;=3,VLOOKUP(A75-1,割合!A:B,2,FALSE),VLOOKUP(A75,割合!A:B,2,FALSE)),1)</f>
        <v>1038</v>
      </c>
      <c r="T75" s="1">
        <f t="shared" si="41"/>
        <v>31110</v>
      </c>
      <c r="U75" s="1">
        <f t="shared" si="33"/>
        <v>6528</v>
      </c>
      <c r="V75" s="1">
        <f t="shared" si="34"/>
        <v>5780</v>
      </c>
      <c r="W75" s="1">
        <v>0</v>
      </c>
      <c r="X75" s="1">
        <v>8520</v>
      </c>
      <c r="Y75" s="1">
        <f t="shared" si="72"/>
        <v>21100</v>
      </c>
      <c r="Z75" s="1">
        <f t="shared" si="27"/>
        <v>3580</v>
      </c>
      <c r="AA75" s="1">
        <v>100</v>
      </c>
      <c r="AB75" s="1">
        <f t="shared" si="21"/>
        <v>1910</v>
      </c>
      <c r="AC75" s="1">
        <v>0</v>
      </c>
      <c r="AD75" s="1">
        <f t="shared" si="82"/>
        <v>49170</v>
      </c>
      <c r="AE75" s="1">
        <v>0</v>
      </c>
    </row>
    <row r="76" spans="1:49">
      <c r="A76">
        <f t="shared" si="31"/>
        <v>2021</v>
      </c>
      <c r="B76">
        <f t="shared" si="32"/>
        <v>6</v>
      </c>
      <c r="C76" s="1">
        <f t="shared" si="42"/>
        <v>897395</v>
      </c>
      <c r="D76" s="1">
        <f>F76-R76</f>
        <v>237203</v>
      </c>
      <c r="E76" s="1">
        <f t="shared" ref="E76" si="83">AF76-AJ76</f>
        <v>660192</v>
      </c>
      <c r="F76" s="1">
        <f t="shared" si="69"/>
        <v>370492</v>
      </c>
      <c r="G76" s="1">
        <f t="shared" si="70"/>
        <v>370492</v>
      </c>
      <c r="H76" s="1">
        <f t="shared" si="71"/>
        <v>370492</v>
      </c>
      <c r="I76" s="1">
        <f t="shared" si="37"/>
        <v>290000</v>
      </c>
      <c r="J76" s="1">
        <v>25492</v>
      </c>
      <c r="K76" s="1">
        <v>0</v>
      </c>
      <c r="L76" s="1">
        <f>55000</f>
        <v>55000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f t="shared" si="43"/>
        <v>133289</v>
      </c>
      <c r="S76" s="1">
        <f>FLOOR((G76)*IF(B76&lt;=3,VLOOKUP(A76-1,割合!A:B,2,FALSE),VLOOKUP(A76,割合!A:B,2,FALSE)),1)</f>
        <v>1111</v>
      </c>
      <c r="T76" s="1">
        <f t="shared" si="41"/>
        <v>31110</v>
      </c>
      <c r="U76" s="1">
        <f t="shared" si="33"/>
        <v>6528</v>
      </c>
      <c r="V76" s="1">
        <f t="shared" si="34"/>
        <v>5780</v>
      </c>
      <c r="W76" s="1">
        <v>0</v>
      </c>
      <c r="X76" s="1">
        <v>10500</v>
      </c>
      <c r="Y76" s="1">
        <v>23500</v>
      </c>
      <c r="Z76" s="1">
        <f t="shared" si="27"/>
        <v>3580</v>
      </c>
      <c r="AA76" s="1">
        <f t="shared" si="73"/>
        <v>100</v>
      </c>
      <c r="AB76" s="1">
        <f t="shared" ref="AB76:AB139" si="84">AB75</f>
        <v>1910</v>
      </c>
      <c r="AC76" s="1">
        <v>0</v>
      </c>
      <c r="AD76" s="1">
        <f t="shared" si="82"/>
        <v>49170</v>
      </c>
      <c r="AE76" s="1">
        <v>0</v>
      </c>
      <c r="AF76" s="1">
        <f t="shared" ref="AF76" si="85">SUM(AG76:AI76)</f>
        <v>827000</v>
      </c>
      <c r="AG76" s="1">
        <v>310000</v>
      </c>
      <c r="AH76" s="1">
        <v>497000</v>
      </c>
      <c r="AI76" s="1">
        <v>20000</v>
      </c>
      <c r="AJ76" s="1">
        <f t="shared" ref="AJ76" si="86">SUM(AK76:AP76)</f>
        <v>166808</v>
      </c>
      <c r="AK76" s="1">
        <f>FLOOR(AF76*VLOOKUP(A76,割合!A:B,2,FALSE),1)</f>
        <v>2481</v>
      </c>
      <c r="AL76" s="1">
        <v>75670</v>
      </c>
      <c r="AM76" s="1">
        <v>15878</v>
      </c>
      <c r="AN76" s="1">
        <v>14059</v>
      </c>
      <c r="AO76" s="1">
        <v>0</v>
      </c>
      <c r="AP76" s="1">
        <v>58720</v>
      </c>
    </row>
    <row r="77" spans="1:49">
      <c r="A77">
        <f t="shared" si="31"/>
        <v>2021</v>
      </c>
      <c r="B77">
        <f t="shared" si="32"/>
        <v>7</v>
      </c>
      <c r="C77" s="1">
        <f t="shared" si="42"/>
        <v>253810</v>
      </c>
      <c r="D77" s="1">
        <f>F77-R77</f>
        <v>253810</v>
      </c>
      <c r="F77" s="1">
        <f t="shared" si="69"/>
        <v>387971</v>
      </c>
      <c r="G77" s="1">
        <f t="shared" si="70"/>
        <v>387971</v>
      </c>
      <c r="H77" s="1">
        <f t="shared" si="71"/>
        <v>387971</v>
      </c>
      <c r="I77" s="1">
        <f t="shared" si="37"/>
        <v>290000</v>
      </c>
      <c r="J77" s="1">
        <v>42971</v>
      </c>
      <c r="K77" s="1">
        <v>0</v>
      </c>
      <c r="L77" s="1">
        <f>55000</f>
        <v>55000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f t="shared" si="43"/>
        <v>134161</v>
      </c>
      <c r="S77" s="1">
        <f>FLOOR((G77)*IF(B77&lt;=3,VLOOKUP(A77-1,割合!A:B,2,FALSE),VLOOKUP(A77,割合!A:B,2,FALSE)),1)</f>
        <v>1163</v>
      </c>
      <c r="T77" s="1">
        <f t="shared" si="41"/>
        <v>31110</v>
      </c>
      <c r="U77" s="1">
        <f t="shared" si="33"/>
        <v>6528</v>
      </c>
      <c r="V77" s="1">
        <f t="shared" si="34"/>
        <v>5780</v>
      </c>
      <c r="W77" s="1">
        <v>0</v>
      </c>
      <c r="X77" s="1">
        <v>11920</v>
      </c>
      <c r="Y77" s="1">
        <v>22900</v>
      </c>
      <c r="Z77" s="1">
        <f t="shared" si="27"/>
        <v>3580</v>
      </c>
      <c r="AA77" s="1">
        <f t="shared" si="73"/>
        <v>100</v>
      </c>
      <c r="AB77" s="1">
        <f t="shared" si="84"/>
        <v>1910</v>
      </c>
      <c r="AC77" s="1">
        <v>0</v>
      </c>
      <c r="AD77" s="1">
        <f t="shared" si="82"/>
        <v>49170</v>
      </c>
      <c r="AE77" s="1">
        <v>0</v>
      </c>
    </row>
    <row r="78" spans="1:49">
      <c r="A78">
        <f t="shared" si="31"/>
        <v>2021</v>
      </c>
      <c r="B78">
        <f t="shared" si="32"/>
        <v>8</v>
      </c>
      <c r="C78" s="1">
        <f t="shared" si="42"/>
        <v>218148</v>
      </c>
      <c r="D78" s="1">
        <f>F78-R78</f>
        <v>218148</v>
      </c>
      <c r="F78" s="1">
        <f t="shared" si="69"/>
        <v>354127</v>
      </c>
      <c r="G78" s="1">
        <f t="shared" si="70"/>
        <v>347827</v>
      </c>
      <c r="H78" s="1">
        <f t="shared" si="71"/>
        <v>354127</v>
      </c>
      <c r="I78" s="1">
        <f t="shared" si="37"/>
        <v>290000</v>
      </c>
      <c r="J78" s="1">
        <v>2827</v>
      </c>
      <c r="K78" s="1">
        <v>0</v>
      </c>
      <c r="L78" s="1">
        <f>55000</f>
        <v>55000</v>
      </c>
      <c r="M78" s="1">
        <f>63*100</f>
        <v>6300</v>
      </c>
      <c r="N78" s="1">
        <v>0</v>
      </c>
      <c r="O78" s="1">
        <v>0</v>
      </c>
      <c r="P78" s="1">
        <v>0</v>
      </c>
      <c r="Q78" s="1">
        <v>0</v>
      </c>
      <c r="R78" s="1">
        <f t="shared" si="43"/>
        <v>135979</v>
      </c>
      <c r="S78" s="1">
        <f>FLOOR((G78)*IF(B78&lt;=3,VLOOKUP(A78-1,割合!A:B,2,FALSE),VLOOKUP(A78,割合!A:B,2,FALSE)),1)</f>
        <v>1043</v>
      </c>
      <c r="T78" s="1">
        <v>34770</v>
      </c>
      <c r="U78" s="1">
        <v>7296</v>
      </c>
      <c r="V78" s="1">
        <v>6460</v>
      </c>
      <c r="W78" s="1">
        <v>0</v>
      </c>
      <c r="X78" s="1">
        <v>8750</v>
      </c>
      <c r="Y78" s="1">
        <f t="shared" ref="Y78:Z91" si="87">Y77</f>
        <v>22900</v>
      </c>
      <c r="Z78" s="1">
        <f t="shared" si="27"/>
        <v>3580</v>
      </c>
      <c r="AA78" s="1">
        <f t="shared" si="73"/>
        <v>100</v>
      </c>
      <c r="AB78" s="1">
        <f t="shared" si="84"/>
        <v>1910</v>
      </c>
      <c r="AC78" s="1">
        <v>0</v>
      </c>
      <c r="AD78" s="1">
        <f t="shared" si="82"/>
        <v>49170</v>
      </c>
      <c r="AE78" s="1">
        <v>0</v>
      </c>
    </row>
    <row r="79" spans="1:49">
      <c r="A79">
        <f t="shared" si="31"/>
        <v>2021</v>
      </c>
      <c r="B79">
        <f t="shared" si="32"/>
        <v>9</v>
      </c>
      <c r="C79" s="1">
        <f t="shared" si="42"/>
        <v>247742</v>
      </c>
      <c r="D79" s="1">
        <f>F79-R79</f>
        <v>247742</v>
      </c>
      <c r="F79" s="1">
        <f t="shared" si="69"/>
        <v>382670</v>
      </c>
      <c r="G79" s="1">
        <f t="shared" si="70"/>
        <v>380870</v>
      </c>
      <c r="H79" s="1">
        <f t="shared" si="71"/>
        <v>382670</v>
      </c>
      <c r="I79" s="1">
        <f t="shared" si="37"/>
        <v>290000</v>
      </c>
      <c r="J79" s="1">
        <v>35870</v>
      </c>
      <c r="K79" s="1">
        <v>0</v>
      </c>
      <c r="L79" s="1">
        <f>55000</f>
        <v>55000</v>
      </c>
      <c r="M79" s="1">
        <f>18*100</f>
        <v>1800</v>
      </c>
      <c r="N79" s="1">
        <v>0</v>
      </c>
      <c r="O79" s="1">
        <v>0</v>
      </c>
      <c r="P79" s="1">
        <v>0</v>
      </c>
      <c r="Q79" s="1">
        <v>0</v>
      </c>
      <c r="R79" s="1">
        <f t="shared" si="43"/>
        <v>134928</v>
      </c>
      <c r="S79" s="1">
        <f>FLOOR((G79)*IF(B79&lt;=3,VLOOKUP(A79-1,割合!A:B,2,FALSE),VLOOKUP(A79,割合!A:B,2,FALSE)),1)</f>
        <v>1142</v>
      </c>
      <c r="T79" s="1">
        <f t="shared" si="41"/>
        <v>34770</v>
      </c>
      <c r="U79" s="1">
        <f t="shared" si="33"/>
        <v>7296</v>
      </c>
      <c r="V79" s="1">
        <f t="shared" si="34"/>
        <v>6460</v>
      </c>
      <c r="W79" s="1">
        <v>0</v>
      </c>
      <c r="X79" s="1">
        <v>11080</v>
      </c>
      <c r="Y79" s="1">
        <f t="shared" si="87"/>
        <v>22900</v>
      </c>
      <c r="Z79" s="1">
        <v>100</v>
      </c>
      <c r="AA79" s="1">
        <f t="shared" si="73"/>
        <v>100</v>
      </c>
      <c r="AB79" s="1">
        <f t="shared" si="84"/>
        <v>1910</v>
      </c>
      <c r="AC79" s="1">
        <v>0</v>
      </c>
      <c r="AD79" s="1">
        <f t="shared" si="82"/>
        <v>49170</v>
      </c>
      <c r="AE79" s="1">
        <v>0</v>
      </c>
    </row>
    <row r="80" spans="1:49">
      <c r="A80">
        <f t="shared" si="31"/>
        <v>2021</v>
      </c>
      <c r="B80">
        <f t="shared" si="32"/>
        <v>10</v>
      </c>
      <c r="C80" s="1">
        <f t="shared" si="42"/>
        <v>279951</v>
      </c>
      <c r="D80" s="1">
        <f>F80-R80</f>
        <v>279951</v>
      </c>
      <c r="F80" s="1">
        <f t="shared" si="69"/>
        <v>417843</v>
      </c>
      <c r="G80" s="1">
        <f t="shared" si="70"/>
        <v>415543</v>
      </c>
      <c r="H80" s="1">
        <f t="shared" si="71"/>
        <v>417843</v>
      </c>
      <c r="I80" s="1">
        <f t="shared" si="37"/>
        <v>290000</v>
      </c>
      <c r="J80" s="1">
        <v>70543</v>
      </c>
      <c r="K80" s="1">
        <v>0</v>
      </c>
      <c r="L80" s="1">
        <f>55000</f>
        <v>55000</v>
      </c>
      <c r="M80" s="1">
        <f>23*100</f>
        <v>2300</v>
      </c>
      <c r="N80" s="1">
        <v>0</v>
      </c>
      <c r="O80" s="1">
        <v>0</v>
      </c>
      <c r="P80" s="1">
        <v>0</v>
      </c>
      <c r="Q80" s="1">
        <v>0</v>
      </c>
      <c r="R80" s="1">
        <f t="shared" si="43"/>
        <v>137892</v>
      </c>
      <c r="S80" s="1">
        <f>FLOOR((G80)*IF(B80&lt;=3,VLOOKUP(A80-1,割合!A:B,2,FALSE),VLOOKUP(A80,割合!A:B,2,FALSE)),1)</f>
        <v>1246</v>
      </c>
      <c r="T80" s="1">
        <f t="shared" si="41"/>
        <v>34770</v>
      </c>
      <c r="U80" s="1">
        <f t="shared" si="33"/>
        <v>7296</v>
      </c>
      <c r="V80" s="1">
        <f t="shared" si="34"/>
        <v>6460</v>
      </c>
      <c r="W80" s="1">
        <v>0</v>
      </c>
      <c r="X80" s="1">
        <v>13940</v>
      </c>
      <c r="Y80" s="1">
        <f t="shared" si="87"/>
        <v>22900</v>
      </c>
      <c r="Z80" s="1">
        <v>100</v>
      </c>
      <c r="AA80" s="1">
        <f t="shared" si="73"/>
        <v>100</v>
      </c>
      <c r="AB80" s="1">
        <f t="shared" si="84"/>
        <v>1910</v>
      </c>
      <c r="AC80" s="1">
        <v>0</v>
      </c>
      <c r="AD80" s="1">
        <f t="shared" si="82"/>
        <v>49170</v>
      </c>
      <c r="AE80" s="1">
        <v>0</v>
      </c>
    </row>
    <row r="81" spans="1:49">
      <c r="A81">
        <f t="shared" si="31"/>
        <v>2021</v>
      </c>
      <c r="B81">
        <f t="shared" si="32"/>
        <v>11</v>
      </c>
      <c r="C81" s="1">
        <f t="shared" si="42"/>
        <v>237849</v>
      </c>
      <c r="D81" s="1">
        <f>F81-R81</f>
        <v>237849</v>
      </c>
      <c r="F81" s="1">
        <f t="shared" si="69"/>
        <v>374913</v>
      </c>
      <c r="G81" s="1">
        <f t="shared" si="70"/>
        <v>372713</v>
      </c>
      <c r="H81" s="1">
        <f t="shared" si="71"/>
        <v>374913</v>
      </c>
      <c r="I81" s="1">
        <f t="shared" si="37"/>
        <v>290000</v>
      </c>
      <c r="J81" s="1">
        <v>27713</v>
      </c>
      <c r="K81" s="1">
        <v>0</v>
      </c>
      <c r="L81" s="1">
        <f>55000</f>
        <v>55000</v>
      </c>
      <c r="M81" s="1">
        <f>22*100</f>
        <v>2200</v>
      </c>
      <c r="N81" s="1">
        <v>0</v>
      </c>
      <c r="O81" s="1">
        <v>0</v>
      </c>
      <c r="P81" s="1">
        <v>0</v>
      </c>
      <c r="Q81" s="1">
        <v>0</v>
      </c>
      <c r="R81" s="1">
        <f t="shared" si="43"/>
        <v>137064</v>
      </c>
      <c r="S81" s="1">
        <f>FLOOR((G81)*IF(B81&lt;=3,VLOOKUP(A81-1,割合!A:B,2,FALSE),VLOOKUP(A81,割合!A:B,2,FALSE)),1)</f>
        <v>1118</v>
      </c>
      <c r="T81" s="1">
        <f t="shared" si="41"/>
        <v>34770</v>
      </c>
      <c r="U81" s="1">
        <f t="shared" si="33"/>
        <v>7296</v>
      </c>
      <c r="V81" s="1">
        <f t="shared" si="34"/>
        <v>6460</v>
      </c>
      <c r="W81" s="1">
        <v>0</v>
      </c>
      <c r="X81" s="1">
        <v>10440</v>
      </c>
      <c r="Y81" s="1">
        <f t="shared" si="87"/>
        <v>22900</v>
      </c>
      <c r="Z81" s="1">
        <v>3000</v>
      </c>
      <c r="AA81" s="1">
        <v>0</v>
      </c>
      <c r="AB81" s="1">
        <f t="shared" si="84"/>
        <v>1910</v>
      </c>
      <c r="AC81" s="1">
        <v>0</v>
      </c>
      <c r="AD81" s="1">
        <f t="shared" si="82"/>
        <v>49170</v>
      </c>
      <c r="AE81" s="1">
        <v>0</v>
      </c>
    </row>
    <row r="82" spans="1:49">
      <c r="A82">
        <f t="shared" si="31"/>
        <v>2021</v>
      </c>
      <c r="B82">
        <f t="shared" si="32"/>
        <v>12</v>
      </c>
      <c r="C82" s="1">
        <f t="shared" si="42"/>
        <v>1177473</v>
      </c>
      <c r="D82" s="1">
        <f>F82-R82</f>
        <v>266617</v>
      </c>
      <c r="E82" s="1">
        <f t="shared" ref="E82" si="88">AF82-AJ82</f>
        <v>910856</v>
      </c>
      <c r="F82" s="1">
        <f t="shared" si="69"/>
        <v>382016</v>
      </c>
      <c r="G82" s="1">
        <f t="shared" si="70"/>
        <v>379716</v>
      </c>
      <c r="H82" s="1">
        <f t="shared" si="71"/>
        <v>382016</v>
      </c>
      <c r="I82" s="1">
        <f t="shared" si="37"/>
        <v>290000</v>
      </c>
      <c r="J82" s="1">
        <v>34716</v>
      </c>
      <c r="K82" s="1">
        <v>0</v>
      </c>
      <c r="L82" s="1">
        <f>55000</f>
        <v>55000</v>
      </c>
      <c r="M82" s="1">
        <f>23*100</f>
        <v>2300</v>
      </c>
      <c r="N82" s="1">
        <v>0</v>
      </c>
      <c r="O82" s="1">
        <v>0</v>
      </c>
      <c r="P82" s="1">
        <v>0</v>
      </c>
      <c r="Q82" s="1">
        <v>0</v>
      </c>
      <c r="R82" s="1">
        <f t="shared" si="43"/>
        <v>115399</v>
      </c>
      <c r="S82" s="1">
        <f>FLOOR((G82)*IF(B82&lt;=3,VLOOKUP(A82-1,割合!A:B,2,FALSE),VLOOKUP(A82,割合!A:B,2,FALSE)),1)</f>
        <v>1139</v>
      </c>
      <c r="T82" s="1">
        <f t="shared" si="41"/>
        <v>34770</v>
      </c>
      <c r="U82" s="1">
        <f t="shared" si="33"/>
        <v>7296</v>
      </c>
      <c r="V82" s="1">
        <f t="shared" si="34"/>
        <v>6460</v>
      </c>
      <c r="W82" s="1">
        <v>0</v>
      </c>
      <c r="X82" s="1">
        <v>-11246</v>
      </c>
      <c r="Y82" s="1">
        <f t="shared" si="87"/>
        <v>22900</v>
      </c>
      <c r="Z82" s="1">
        <f t="shared" si="87"/>
        <v>3000</v>
      </c>
      <c r="AA82" s="1">
        <f t="shared" si="73"/>
        <v>0</v>
      </c>
      <c r="AB82" s="1">
        <f t="shared" si="84"/>
        <v>1910</v>
      </c>
      <c r="AC82" s="1">
        <v>0</v>
      </c>
      <c r="AD82" s="1">
        <f t="shared" si="82"/>
        <v>49170</v>
      </c>
      <c r="AE82" s="1">
        <v>0</v>
      </c>
      <c r="AF82" s="1">
        <f t="shared" ref="AF82" si="89">SUM(AG82:AI82)</f>
        <v>1141000</v>
      </c>
      <c r="AG82" s="1">
        <v>340000</v>
      </c>
      <c r="AH82" s="1">
        <v>801000</v>
      </c>
      <c r="AI82" s="1">
        <v>0</v>
      </c>
      <c r="AJ82" s="1">
        <f t="shared" ref="AJ82" si="90">SUM(AK82:AP82)</f>
        <v>230144</v>
      </c>
      <c r="AK82" s="1">
        <f>FLOOR(AF82*VLOOKUP(A82,割合!A:B,2,FALSE),1)</f>
        <v>3423</v>
      </c>
      <c r="AL82" s="1">
        <v>104401</v>
      </c>
      <c r="AM82" s="1">
        <v>21907</v>
      </c>
      <c r="AN82" s="1">
        <v>19397</v>
      </c>
      <c r="AO82" s="1">
        <v>0</v>
      </c>
      <c r="AP82" s="1">
        <v>81016</v>
      </c>
      <c r="AQ82" s="1">
        <f>SUM(H71:H82)+SUM(AF71:AF82)</f>
        <v>6463181</v>
      </c>
      <c r="AR82" s="1">
        <f t="shared" ref="AR82" si="91">AQ82-AQ70</f>
        <v>967578</v>
      </c>
      <c r="AS82" s="1">
        <f t="shared" ref="AS82" si="92">AR82/12</f>
        <v>80631.5</v>
      </c>
      <c r="AT82" s="1">
        <f>SUM(C71:C82)+SUM(AC71:AE82)</f>
        <v>5075527</v>
      </c>
      <c r="AU82" s="1">
        <f t="shared" ref="AU82" si="93">AT82-AT70</f>
        <v>780774</v>
      </c>
      <c r="AV82" s="1">
        <f t="shared" ref="AV82" si="94">AU82/12</f>
        <v>65064.5</v>
      </c>
      <c r="AW82" s="3">
        <f>AT82/AQ82</f>
        <v>0.78529860141623764</v>
      </c>
    </row>
    <row r="83" spans="1:49">
      <c r="A83">
        <f t="shared" si="31"/>
        <v>2022</v>
      </c>
      <c r="B83">
        <f t="shared" si="32"/>
        <v>1</v>
      </c>
      <c r="C83" s="1">
        <f t="shared" si="42"/>
        <v>272303</v>
      </c>
      <c r="D83" s="1">
        <f>F83-R83</f>
        <v>272303</v>
      </c>
      <c r="F83" s="1">
        <f t="shared" si="69"/>
        <v>412546</v>
      </c>
      <c r="G83" s="1">
        <f t="shared" si="70"/>
        <v>409246</v>
      </c>
      <c r="H83" s="1">
        <f t="shared" si="71"/>
        <v>412546</v>
      </c>
      <c r="I83" s="1">
        <f t="shared" si="37"/>
        <v>290000</v>
      </c>
      <c r="J83" s="1">
        <v>64246</v>
      </c>
      <c r="K83" s="1">
        <v>0</v>
      </c>
      <c r="L83" s="1">
        <f>55000</f>
        <v>55000</v>
      </c>
      <c r="M83" s="1">
        <f>23*100</f>
        <v>2300</v>
      </c>
      <c r="N83" s="1">
        <v>1000</v>
      </c>
      <c r="O83" s="1">
        <v>0</v>
      </c>
      <c r="P83" s="1">
        <v>0</v>
      </c>
      <c r="Q83" s="1">
        <v>0</v>
      </c>
      <c r="R83" s="1">
        <f t="shared" si="43"/>
        <v>140243</v>
      </c>
      <c r="S83" s="1">
        <f>FLOOR((G83)*IF(B83&lt;=3,VLOOKUP(A83-1,割合!A:B,2,FALSE),VLOOKUP(A83,割合!A:B,2,FALSE)),1)</f>
        <v>1227</v>
      </c>
      <c r="T83" s="1">
        <f t="shared" si="41"/>
        <v>34770</v>
      </c>
      <c r="U83" s="1">
        <f t="shared" si="33"/>
        <v>7296</v>
      </c>
      <c r="V83" s="1">
        <f t="shared" si="34"/>
        <v>6460</v>
      </c>
      <c r="W83" s="1">
        <v>0</v>
      </c>
      <c r="X83" s="1">
        <v>13510</v>
      </c>
      <c r="Y83" s="1">
        <f t="shared" si="87"/>
        <v>22900</v>
      </c>
      <c r="Z83" s="1">
        <f t="shared" si="87"/>
        <v>3000</v>
      </c>
      <c r="AA83" s="1">
        <f t="shared" si="73"/>
        <v>0</v>
      </c>
      <c r="AB83" s="1">
        <f t="shared" si="84"/>
        <v>1910</v>
      </c>
      <c r="AC83" s="1">
        <v>0</v>
      </c>
      <c r="AD83" s="1">
        <f t="shared" si="82"/>
        <v>49170</v>
      </c>
      <c r="AE83" s="1">
        <v>0</v>
      </c>
    </row>
    <row r="84" spans="1:49">
      <c r="A84">
        <f t="shared" si="31"/>
        <v>2022</v>
      </c>
      <c r="B84">
        <f t="shared" si="32"/>
        <v>2</v>
      </c>
      <c r="C84" s="1">
        <f t="shared" si="42"/>
        <v>290324</v>
      </c>
      <c r="D84" s="1">
        <f>F84-R84</f>
        <v>290324</v>
      </c>
      <c r="F84" s="1">
        <f t="shared" si="69"/>
        <v>432768</v>
      </c>
      <c r="G84" s="1">
        <f t="shared" si="70"/>
        <v>432768</v>
      </c>
      <c r="H84" s="1">
        <f t="shared" si="71"/>
        <v>432768</v>
      </c>
      <c r="I84" s="1">
        <f t="shared" si="37"/>
        <v>290000</v>
      </c>
      <c r="J84" s="1">
        <v>87768</v>
      </c>
      <c r="K84" s="1">
        <v>0</v>
      </c>
      <c r="L84" s="1">
        <f>55000</f>
        <v>55000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f t="shared" si="43"/>
        <v>142444</v>
      </c>
      <c r="S84" s="1">
        <f>FLOOR((G84)*IF(B84&lt;=3,VLOOKUP(A84-1,割合!A:B,2,FALSE),VLOOKUP(A84,割合!A:B,2,FALSE)),1)</f>
        <v>1298</v>
      </c>
      <c r="T84" s="1">
        <f t="shared" si="41"/>
        <v>34770</v>
      </c>
      <c r="U84" s="1">
        <f t="shared" si="33"/>
        <v>7296</v>
      </c>
      <c r="V84" s="1">
        <f t="shared" si="34"/>
        <v>6460</v>
      </c>
      <c r="W84" s="1">
        <v>0</v>
      </c>
      <c r="X84" s="1">
        <v>15160</v>
      </c>
      <c r="Y84" s="1">
        <f t="shared" si="87"/>
        <v>22900</v>
      </c>
      <c r="Z84" s="1">
        <f t="shared" si="87"/>
        <v>3000</v>
      </c>
      <c r="AA84" s="1">
        <f t="shared" si="73"/>
        <v>0</v>
      </c>
      <c r="AB84" s="1">
        <f t="shared" si="84"/>
        <v>1910</v>
      </c>
      <c r="AC84" s="1">
        <v>480</v>
      </c>
      <c r="AD84" s="1">
        <f t="shared" si="82"/>
        <v>49170</v>
      </c>
      <c r="AE84" s="1">
        <v>0</v>
      </c>
    </row>
    <row r="85" spans="1:49">
      <c r="A85">
        <f t="shared" si="31"/>
        <v>2022</v>
      </c>
      <c r="B85">
        <f t="shared" si="32"/>
        <v>3</v>
      </c>
      <c r="C85" s="1">
        <f t="shared" si="42"/>
        <v>248279</v>
      </c>
      <c r="D85" s="1">
        <f>F85-R85</f>
        <v>248279</v>
      </c>
      <c r="F85" s="1">
        <f t="shared" si="69"/>
        <v>386302</v>
      </c>
      <c r="G85" s="1">
        <f t="shared" si="70"/>
        <v>382502</v>
      </c>
      <c r="H85" s="1">
        <f t="shared" si="71"/>
        <v>386302</v>
      </c>
      <c r="I85" s="1">
        <f t="shared" si="37"/>
        <v>290000</v>
      </c>
      <c r="J85" s="1">
        <v>37502</v>
      </c>
      <c r="K85" s="1">
        <v>0</v>
      </c>
      <c r="L85" s="1">
        <f>55000</f>
        <v>55000</v>
      </c>
      <c r="M85" s="1">
        <f>(22+16)*100</f>
        <v>3800</v>
      </c>
      <c r="N85" s="1">
        <v>0</v>
      </c>
      <c r="O85" s="1">
        <v>0</v>
      </c>
      <c r="P85" s="1">
        <v>0</v>
      </c>
      <c r="Q85" s="1">
        <v>0</v>
      </c>
      <c r="R85" s="1">
        <f t="shared" si="43"/>
        <v>138023</v>
      </c>
      <c r="S85" s="1">
        <f>FLOOR((G85)*IF(B85&lt;=3,VLOOKUP(A85-1,割合!A:B,2,FALSE),VLOOKUP(A85,割合!A:B,2,FALSE)),1)</f>
        <v>1147</v>
      </c>
      <c r="T85" s="1">
        <f t="shared" si="41"/>
        <v>34770</v>
      </c>
      <c r="U85" s="1">
        <f t="shared" si="33"/>
        <v>7296</v>
      </c>
      <c r="V85" s="1">
        <f t="shared" si="34"/>
        <v>6460</v>
      </c>
      <c r="W85" s="1">
        <v>0</v>
      </c>
      <c r="X85" s="1">
        <v>11370</v>
      </c>
      <c r="Y85" s="1">
        <f t="shared" si="87"/>
        <v>22900</v>
      </c>
      <c r="Z85" s="1">
        <f t="shared" si="87"/>
        <v>3000</v>
      </c>
      <c r="AA85" s="1">
        <f t="shared" si="73"/>
        <v>0</v>
      </c>
      <c r="AB85" s="1">
        <f t="shared" si="84"/>
        <v>1910</v>
      </c>
      <c r="AC85" s="1">
        <v>0</v>
      </c>
      <c r="AD85" s="1">
        <f t="shared" si="82"/>
        <v>49170</v>
      </c>
      <c r="AE85" s="1">
        <v>0</v>
      </c>
    </row>
    <row r="86" spans="1:49">
      <c r="A86">
        <f t="shared" si="31"/>
        <v>2022</v>
      </c>
      <c r="B86">
        <f t="shared" si="32"/>
        <v>4</v>
      </c>
      <c r="C86" s="1">
        <f t="shared" si="42"/>
        <v>306060</v>
      </c>
      <c r="D86" s="1">
        <f>F86-R86</f>
        <v>306060</v>
      </c>
      <c r="F86" s="1">
        <f t="shared" si="69"/>
        <v>449527</v>
      </c>
      <c r="G86" s="1">
        <f t="shared" si="70"/>
        <v>447127</v>
      </c>
      <c r="H86" s="1">
        <f t="shared" si="71"/>
        <v>449527</v>
      </c>
      <c r="I86" s="1">
        <v>300500</v>
      </c>
      <c r="J86" s="1">
        <v>91627</v>
      </c>
      <c r="K86" s="1">
        <v>0</v>
      </c>
      <c r="L86" s="1">
        <f>55000</f>
        <v>55000</v>
      </c>
      <c r="M86" s="1">
        <f>24*100</f>
        <v>2400</v>
      </c>
      <c r="N86" s="1">
        <v>0</v>
      </c>
      <c r="O86" s="1">
        <v>0</v>
      </c>
      <c r="P86" s="1">
        <v>0</v>
      </c>
      <c r="Q86" s="1">
        <v>0</v>
      </c>
      <c r="R86" s="1">
        <f t="shared" si="43"/>
        <v>143467</v>
      </c>
      <c r="S86" s="1">
        <f>FLOOR((G86)*IF(B86&lt;=3,VLOOKUP(A86-1,割合!A:B,2,FALSE),VLOOKUP(A86,割合!A:B,2,FALSE)),1)</f>
        <v>1341</v>
      </c>
      <c r="T86" s="1">
        <f t="shared" si="41"/>
        <v>34770</v>
      </c>
      <c r="U86" s="1">
        <f t="shared" si="33"/>
        <v>7296</v>
      </c>
      <c r="V86" s="1">
        <f t="shared" si="34"/>
        <v>6460</v>
      </c>
      <c r="W86" s="1">
        <v>0</v>
      </c>
      <c r="X86" s="1">
        <v>16520</v>
      </c>
      <c r="Y86" s="1">
        <f t="shared" si="87"/>
        <v>22900</v>
      </c>
      <c r="Z86" s="1">
        <v>3100</v>
      </c>
      <c r="AA86" s="1">
        <f t="shared" si="73"/>
        <v>0</v>
      </c>
      <c r="AB86" s="1">
        <f t="shared" si="84"/>
        <v>1910</v>
      </c>
      <c r="AC86" s="1">
        <v>0</v>
      </c>
      <c r="AD86" s="1">
        <f t="shared" si="82"/>
        <v>49170</v>
      </c>
      <c r="AE86" s="1">
        <v>0</v>
      </c>
    </row>
    <row r="87" spans="1:49">
      <c r="A87">
        <f t="shared" si="31"/>
        <v>2022</v>
      </c>
      <c r="B87">
        <f t="shared" si="32"/>
        <v>5</v>
      </c>
      <c r="C87" s="1">
        <f t="shared" si="42"/>
        <v>237297</v>
      </c>
      <c r="D87" s="1">
        <f>F87-R87</f>
        <v>237297</v>
      </c>
      <c r="F87" s="1">
        <f t="shared" si="69"/>
        <v>373443</v>
      </c>
      <c r="G87" s="1">
        <f t="shared" si="70"/>
        <v>363443</v>
      </c>
      <c r="H87" s="1">
        <f t="shared" si="71"/>
        <v>373443</v>
      </c>
      <c r="I87" s="1">
        <f t="shared" si="37"/>
        <v>300500</v>
      </c>
      <c r="J87" s="1">
        <v>7943</v>
      </c>
      <c r="K87" s="1">
        <v>0</v>
      </c>
      <c r="L87" s="1">
        <f>55000</f>
        <v>55000</v>
      </c>
      <c r="M87" s="1">
        <f>20*100</f>
        <v>2000</v>
      </c>
      <c r="N87" s="1">
        <v>8000</v>
      </c>
      <c r="O87" s="1">
        <v>0</v>
      </c>
      <c r="P87" s="1">
        <v>0</v>
      </c>
      <c r="Q87" s="1">
        <v>0</v>
      </c>
      <c r="R87" s="1">
        <f t="shared" si="43"/>
        <v>136146</v>
      </c>
      <c r="S87" s="1">
        <f>FLOOR((G87)*IF(B87&lt;=3,VLOOKUP(A87-1,割合!A:B,2,FALSE),VLOOKUP(A87,割合!A:B,2,FALSE)),1)</f>
        <v>1090</v>
      </c>
      <c r="T87" s="1">
        <f t="shared" si="41"/>
        <v>34770</v>
      </c>
      <c r="U87" s="1">
        <v>7688</v>
      </c>
      <c r="V87" s="1">
        <v>5118</v>
      </c>
      <c r="W87" s="1">
        <v>0</v>
      </c>
      <c r="X87" s="1">
        <v>10400</v>
      </c>
      <c r="Y87" s="1">
        <f t="shared" si="87"/>
        <v>22900</v>
      </c>
      <c r="Z87" s="1">
        <f t="shared" si="87"/>
        <v>3100</v>
      </c>
      <c r="AA87" s="1">
        <f t="shared" si="73"/>
        <v>0</v>
      </c>
      <c r="AB87" s="1">
        <f t="shared" si="84"/>
        <v>1910</v>
      </c>
      <c r="AC87" s="1">
        <v>0</v>
      </c>
      <c r="AD87" s="1">
        <f t="shared" si="82"/>
        <v>49170</v>
      </c>
      <c r="AE87" s="1">
        <v>0</v>
      </c>
    </row>
    <row r="88" spans="1:49">
      <c r="A88">
        <f t="shared" ref="A88:A142" si="95">A76+1</f>
        <v>2022</v>
      </c>
      <c r="B88">
        <f t="shared" ref="B88:B142" si="96">B76</f>
        <v>6</v>
      </c>
      <c r="C88" s="1">
        <f t="shared" si="42"/>
        <v>1224602</v>
      </c>
      <c r="D88" s="1">
        <f>F88-R88</f>
        <v>267894</v>
      </c>
      <c r="E88" s="1">
        <f t="shared" ref="E88" si="97">AF88-AJ88</f>
        <v>956708</v>
      </c>
      <c r="F88" s="1">
        <f t="shared" si="69"/>
        <v>413444</v>
      </c>
      <c r="G88" s="1">
        <f t="shared" si="70"/>
        <v>411544</v>
      </c>
      <c r="H88" s="1">
        <f t="shared" si="71"/>
        <v>413444</v>
      </c>
      <c r="I88" s="1">
        <f t="shared" si="37"/>
        <v>300500</v>
      </c>
      <c r="J88" s="1">
        <v>56044</v>
      </c>
      <c r="K88" s="1">
        <v>0</v>
      </c>
      <c r="L88" s="1">
        <f>55000</f>
        <v>55000</v>
      </c>
      <c r="M88" s="1">
        <f>19*100</f>
        <v>1900</v>
      </c>
      <c r="N88" s="1">
        <v>0</v>
      </c>
      <c r="O88" s="1">
        <v>0</v>
      </c>
      <c r="P88" s="1">
        <v>0</v>
      </c>
      <c r="Q88" s="1">
        <v>0</v>
      </c>
      <c r="R88" s="1">
        <f t="shared" si="43"/>
        <v>145550</v>
      </c>
      <c r="S88" s="1">
        <f>FLOOR((G88)*IF(B88&lt;=3,VLOOKUP(A88-1,割合!A:B,2,FALSE),VLOOKUP(A88,割合!A:B,2,FALSE)),1)</f>
        <v>1234</v>
      </c>
      <c r="T88" s="1">
        <f t="shared" si="41"/>
        <v>34770</v>
      </c>
      <c r="U88" s="1">
        <f t="shared" ref="U88:U142" si="98">U87</f>
        <v>7688</v>
      </c>
      <c r="V88" s="1">
        <f t="shared" ref="V88:W142" si="99">V87</f>
        <v>5118</v>
      </c>
      <c r="W88" s="1">
        <v>0</v>
      </c>
      <c r="X88" s="1">
        <v>13660</v>
      </c>
      <c r="Y88" s="1">
        <v>28900</v>
      </c>
      <c r="Z88" s="1">
        <f t="shared" si="87"/>
        <v>3100</v>
      </c>
      <c r="AA88" s="1">
        <f t="shared" si="73"/>
        <v>0</v>
      </c>
      <c r="AB88" s="1">
        <f t="shared" si="84"/>
        <v>1910</v>
      </c>
      <c r="AC88" s="1">
        <v>0</v>
      </c>
      <c r="AD88" s="1">
        <f t="shared" si="82"/>
        <v>49170</v>
      </c>
      <c r="AE88" s="1">
        <v>0</v>
      </c>
      <c r="AF88" s="1">
        <f t="shared" ref="AF88" si="100">SUM(AG88:AI88)</f>
        <v>1195000</v>
      </c>
      <c r="AG88" s="1">
        <v>340000</v>
      </c>
      <c r="AH88" s="1">
        <v>825000</v>
      </c>
      <c r="AI88" s="1">
        <v>30000</v>
      </c>
      <c r="AJ88" s="1">
        <f t="shared" ref="AJ88" si="101">SUM(AK88:AP88)</f>
        <v>238292</v>
      </c>
      <c r="AK88" s="1">
        <f>FLOOR(AF88*VLOOKUP(A88,割合!A:B,2,FALSE),1)</f>
        <v>3585</v>
      </c>
      <c r="AL88" s="1">
        <v>109342</v>
      </c>
      <c r="AM88" s="1">
        <v>24175</v>
      </c>
      <c r="AN88" s="1">
        <v>16096</v>
      </c>
      <c r="AO88" s="1">
        <v>0</v>
      </c>
      <c r="AP88" s="1">
        <v>85094</v>
      </c>
    </row>
    <row r="89" spans="1:49">
      <c r="A89">
        <f t="shared" si="95"/>
        <v>2022</v>
      </c>
      <c r="B89">
        <f t="shared" si="96"/>
        <v>7</v>
      </c>
      <c r="C89" s="1">
        <f t="shared" si="42"/>
        <v>267276</v>
      </c>
      <c r="D89" s="1">
        <f>F89-R89</f>
        <v>267276</v>
      </c>
      <c r="F89" s="1">
        <f t="shared" si="69"/>
        <v>412552</v>
      </c>
      <c r="G89" s="1">
        <f t="shared" si="70"/>
        <v>410052</v>
      </c>
      <c r="H89" s="1">
        <f t="shared" si="71"/>
        <v>412552</v>
      </c>
      <c r="I89" s="1">
        <f t="shared" si="37"/>
        <v>300500</v>
      </c>
      <c r="J89" s="1">
        <v>54552</v>
      </c>
      <c r="K89" s="1">
        <v>0</v>
      </c>
      <c r="L89" s="1">
        <f>55000</f>
        <v>55000</v>
      </c>
      <c r="M89" s="1">
        <f>25*100</f>
        <v>2500</v>
      </c>
      <c r="N89" s="1">
        <v>0</v>
      </c>
      <c r="O89" s="1">
        <v>0</v>
      </c>
      <c r="P89" s="1">
        <v>0</v>
      </c>
      <c r="Q89" s="1">
        <v>0</v>
      </c>
      <c r="R89" s="1">
        <f t="shared" si="43"/>
        <v>145276</v>
      </c>
      <c r="S89" s="1">
        <f>FLOOR((G89)*IF(B89&lt;=3,VLOOKUP(A89-1,割合!A:B,2,FALSE),VLOOKUP(A89,割合!A:B,2,FALSE)),1)</f>
        <v>1230</v>
      </c>
      <c r="T89" s="1">
        <f t="shared" si="41"/>
        <v>34770</v>
      </c>
      <c r="U89" s="1">
        <f t="shared" si="98"/>
        <v>7688</v>
      </c>
      <c r="V89" s="1">
        <f t="shared" si="99"/>
        <v>5118</v>
      </c>
      <c r="W89" s="1">
        <v>0</v>
      </c>
      <c r="X89" s="1">
        <v>13590</v>
      </c>
      <c r="Y89" s="1">
        <v>28700</v>
      </c>
      <c r="Z89" s="1">
        <f t="shared" si="87"/>
        <v>3100</v>
      </c>
      <c r="AA89" s="1">
        <f t="shared" si="73"/>
        <v>0</v>
      </c>
      <c r="AB89" s="1">
        <f t="shared" si="84"/>
        <v>1910</v>
      </c>
      <c r="AC89" s="1">
        <v>0</v>
      </c>
      <c r="AD89" s="1">
        <f t="shared" si="82"/>
        <v>49170</v>
      </c>
      <c r="AE89" s="1">
        <v>0</v>
      </c>
    </row>
    <row r="90" spans="1:49">
      <c r="A90">
        <f t="shared" si="95"/>
        <v>2022</v>
      </c>
      <c r="B90">
        <f t="shared" si="96"/>
        <v>8</v>
      </c>
      <c r="C90" s="1">
        <f t="shared" si="42"/>
        <v>266661</v>
      </c>
      <c r="D90" s="1">
        <f>F90-R90</f>
        <v>266661</v>
      </c>
      <c r="F90" s="1">
        <f t="shared" si="69"/>
        <v>411882</v>
      </c>
      <c r="G90" s="1">
        <f t="shared" si="70"/>
        <v>411882</v>
      </c>
      <c r="H90" s="1">
        <f t="shared" si="71"/>
        <v>411882</v>
      </c>
      <c r="I90" s="1">
        <f t="shared" si="37"/>
        <v>300500</v>
      </c>
      <c r="J90" s="1">
        <v>56382</v>
      </c>
      <c r="K90" s="1">
        <v>0</v>
      </c>
      <c r="L90" s="1">
        <f>55000</f>
        <v>55000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f t="shared" si="43"/>
        <v>145221</v>
      </c>
      <c r="S90" s="1">
        <f>FLOOR((G90)*IF(B90&lt;=3,VLOOKUP(A90-1,割合!A:B,2,FALSE),VLOOKUP(A90,割合!A:B,2,FALSE)),1)</f>
        <v>1235</v>
      </c>
      <c r="T90" s="1">
        <f t="shared" si="41"/>
        <v>34770</v>
      </c>
      <c r="U90" s="1">
        <f t="shared" si="98"/>
        <v>7688</v>
      </c>
      <c r="V90" s="1">
        <f t="shared" si="99"/>
        <v>5118</v>
      </c>
      <c r="W90" s="1">
        <v>0</v>
      </c>
      <c r="X90" s="1">
        <v>13530</v>
      </c>
      <c r="Y90" s="1">
        <f t="shared" ref="Y90:Y99" si="102">Y89</f>
        <v>28700</v>
      </c>
      <c r="Z90" s="1">
        <f t="shared" si="87"/>
        <v>3100</v>
      </c>
      <c r="AA90" s="1">
        <f t="shared" si="73"/>
        <v>0</v>
      </c>
      <c r="AB90" s="1">
        <f t="shared" si="84"/>
        <v>1910</v>
      </c>
      <c r="AC90" s="1">
        <v>0</v>
      </c>
      <c r="AD90" s="1">
        <f t="shared" si="82"/>
        <v>49170</v>
      </c>
      <c r="AE90" s="1">
        <v>0</v>
      </c>
    </row>
    <row r="91" spans="1:49">
      <c r="A91">
        <f t="shared" si="95"/>
        <v>2022</v>
      </c>
      <c r="B91">
        <f t="shared" si="96"/>
        <v>9</v>
      </c>
      <c r="C91" s="1">
        <f t="shared" si="42"/>
        <v>306308</v>
      </c>
      <c r="D91" s="1">
        <f>F91-R91</f>
        <v>306308</v>
      </c>
      <c r="F91" s="1">
        <f t="shared" si="69"/>
        <v>455175</v>
      </c>
      <c r="G91" s="1">
        <f t="shared" si="70"/>
        <v>450375</v>
      </c>
      <c r="H91" s="1">
        <f t="shared" si="71"/>
        <v>455175</v>
      </c>
      <c r="I91" s="1">
        <f t="shared" ref="I91:I142" si="103">I90</f>
        <v>300500</v>
      </c>
      <c r="J91" s="1">
        <v>94875</v>
      </c>
      <c r="K91" s="1">
        <v>0</v>
      </c>
      <c r="L91" s="1">
        <f>55000</f>
        <v>55000</v>
      </c>
      <c r="M91" s="1">
        <f>(22+22+4)*100</f>
        <v>4800</v>
      </c>
      <c r="N91" s="1">
        <v>0</v>
      </c>
      <c r="O91" s="1">
        <v>0</v>
      </c>
      <c r="P91" s="1">
        <v>0</v>
      </c>
      <c r="Q91" s="1">
        <v>0</v>
      </c>
      <c r="R91" s="1">
        <f t="shared" si="43"/>
        <v>148867</v>
      </c>
      <c r="S91" s="1">
        <f>FLOOR((G91)*IF(B91&lt;=3,VLOOKUP(A91-1,割合!A:B,2,FALSE),VLOOKUP(A91,割合!A:B,2,FALSE)),1)</f>
        <v>1351</v>
      </c>
      <c r="T91" s="1">
        <f t="shared" si="41"/>
        <v>34770</v>
      </c>
      <c r="U91" s="1">
        <f t="shared" si="98"/>
        <v>7688</v>
      </c>
      <c r="V91" s="1">
        <f t="shared" si="99"/>
        <v>5118</v>
      </c>
      <c r="W91" s="1">
        <v>0</v>
      </c>
      <c r="X91" s="1">
        <v>17060</v>
      </c>
      <c r="Y91" s="1">
        <f t="shared" si="102"/>
        <v>28700</v>
      </c>
      <c r="Z91" s="1">
        <f t="shared" si="87"/>
        <v>3100</v>
      </c>
      <c r="AA91" s="1">
        <f t="shared" si="73"/>
        <v>0</v>
      </c>
      <c r="AB91" s="1">
        <f t="shared" si="84"/>
        <v>1910</v>
      </c>
      <c r="AC91" s="1">
        <v>0</v>
      </c>
      <c r="AD91" s="1">
        <f t="shared" si="82"/>
        <v>49170</v>
      </c>
      <c r="AE91" s="1">
        <v>0</v>
      </c>
    </row>
    <row r="92" spans="1:49">
      <c r="A92">
        <f t="shared" si="95"/>
        <v>2022</v>
      </c>
      <c r="B92">
        <f t="shared" si="96"/>
        <v>10</v>
      </c>
      <c r="C92" s="1">
        <f t="shared" si="42"/>
        <v>238909</v>
      </c>
      <c r="D92" s="1">
        <f>F92-R92</f>
        <v>238909</v>
      </c>
      <c r="F92" s="1">
        <f t="shared" si="69"/>
        <v>381996</v>
      </c>
      <c r="G92" s="1">
        <f t="shared" si="70"/>
        <v>381996</v>
      </c>
      <c r="H92" s="1">
        <f t="shared" si="71"/>
        <v>381996</v>
      </c>
      <c r="I92" s="1">
        <f t="shared" si="103"/>
        <v>300500</v>
      </c>
      <c r="J92" s="1">
        <v>26496</v>
      </c>
      <c r="K92" s="1">
        <v>0</v>
      </c>
      <c r="L92" s="1">
        <f>55000</f>
        <v>55000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f t="shared" si="43"/>
        <v>143087</v>
      </c>
      <c r="S92" s="1">
        <f>FLOOR((G92)*IF(B92&lt;=3,VLOOKUP(A92-1,割合!A:B,2,FALSE),VLOOKUP(A92,割合!A:B,2,FALSE)),1)</f>
        <v>1145</v>
      </c>
      <c r="T92" s="1">
        <v>37515</v>
      </c>
      <c r="U92" s="1">
        <v>8295</v>
      </c>
      <c r="V92" s="1">
        <v>5522</v>
      </c>
      <c r="W92" s="1">
        <v>0</v>
      </c>
      <c r="X92" s="1">
        <v>10730</v>
      </c>
      <c r="Y92" s="1">
        <f t="shared" si="102"/>
        <v>28700</v>
      </c>
      <c r="Z92" s="1">
        <v>100</v>
      </c>
      <c r="AA92" s="1">
        <f t="shared" si="73"/>
        <v>0</v>
      </c>
      <c r="AB92" s="1">
        <f t="shared" si="84"/>
        <v>1910</v>
      </c>
      <c r="AC92" s="1">
        <v>0</v>
      </c>
      <c r="AD92" s="1">
        <f t="shared" si="82"/>
        <v>49170</v>
      </c>
      <c r="AE92" s="1">
        <v>0</v>
      </c>
    </row>
    <row r="93" spans="1:49">
      <c r="A93">
        <f t="shared" si="95"/>
        <v>2022</v>
      </c>
      <c r="B93">
        <f t="shared" si="96"/>
        <v>11</v>
      </c>
      <c r="C93" s="1">
        <f t="shared" si="42"/>
        <v>344685</v>
      </c>
      <c r="D93" s="1">
        <f>F93-R93</f>
        <v>344685</v>
      </c>
      <c r="F93" s="1">
        <f t="shared" si="69"/>
        <v>501350</v>
      </c>
      <c r="G93" s="1">
        <f t="shared" si="70"/>
        <v>444470</v>
      </c>
      <c r="H93" s="1">
        <f t="shared" si="71"/>
        <v>501350</v>
      </c>
      <c r="I93" s="1">
        <f t="shared" si="103"/>
        <v>300500</v>
      </c>
      <c r="J93" s="1">
        <v>88970</v>
      </c>
      <c r="K93" s="1">
        <v>0</v>
      </c>
      <c r="L93" s="1">
        <f>55000</f>
        <v>55000</v>
      </c>
      <c r="M93" s="1">
        <f>(20+2+17)*100</f>
        <v>3900</v>
      </c>
      <c r="N93" s="1">
        <v>52980</v>
      </c>
      <c r="O93" s="1">
        <v>0</v>
      </c>
      <c r="P93" s="1">
        <v>0</v>
      </c>
      <c r="Q93" s="1">
        <v>0</v>
      </c>
      <c r="R93" s="1">
        <f t="shared" si="43"/>
        <v>156665</v>
      </c>
      <c r="S93" s="1">
        <f>FLOOR((G93)*IF(B93&lt;=3,VLOOKUP(A93-1,割合!A:B,2,FALSE),VLOOKUP(A93,割合!A:B,2,FALSE)),1)</f>
        <v>1333</v>
      </c>
      <c r="T93" s="1">
        <f t="shared" si="41"/>
        <v>37515</v>
      </c>
      <c r="U93" s="1">
        <f t="shared" si="98"/>
        <v>8295</v>
      </c>
      <c r="V93" s="1">
        <f t="shared" si="99"/>
        <v>5522</v>
      </c>
      <c r="W93" s="1">
        <v>0</v>
      </c>
      <c r="X93" s="1">
        <v>21120</v>
      </c>
      <c r="Y93" s="1">
        <f t="shared" si="102"/>
        <v>28700</v>
      </c>
      <c r="Z93" s="1">
        <v>3100</v>
      </c>
      <c r="AA93" s="1">
        <f t="shared" si="73"/>
        <v>0</v>
      </c>
      <c r="AB93" s="1">
        <f t="shared" si="84"/>
        <v>1910</v>
      </c>
      <c r="AC93" s="1">
        <v>0</v>
      </c>
      <c r="AD93" s="1">
        <f t="shared" si="82"/>
        <v>49170</v>
      </c>
      <c r="AE93" s="1">
        <v>0</v>
      </c>
    </row>
    <row r="94" spans="1:49">
      <c r="A94">
        <f t="shared" si="95"/>
        <v>2022</v>
      </c>
      <c r="B94">
        <f t="shared" si="96"/>
        <v>12</v>
      </c>
      <c r="C94" s="1">
        <f t="shared" si="42"/>
        <v>1144593</v>
      </c>
      <c r="D94" s="1">
        <f>F94-R94</f>
        <v>324398</v>
      </c>
      <c r="E94" s="1">
        <f t="shared" ref="E94" si="104">AF94-AJ94</f>
        <v>820195</v>
      </c>
      <c r="F94" s="1">
        <f t="shared" si="69"/>
        <v>459025</v>
      </c>
      <c r="G94" s="1">
        <f t="shared" si="70"/>
        <v>456005</v>
      </c>
      <c r="H94" s="1">
        <f t="shared" si="71"/>
        <v>459025</v>
      </c>
      <c r="I94" s="1">
        <f t="shared" si="103"/>
        <v>300500</v>
      </c>
      <c r="J94" s="1">
        <v>100505</v>
      </c>
      <c r="K94" s="1">
        <v>0</v>
      </c>
      <c r="L94" s="1">
        <f>55000</f>
        <v>55000</v>
      </c>
      <c r="M94" s="1">
        <v>0</v>
      </c>
      <c r="N94" s="1">
        <v>3020</v>
      </c>
      <c r="O94" s="1">
        <v>0</v>
      </c>
      <c r="P94" s="1">
        <v>0</v>
      </c>
      <c r="Q94" s="1">
        <v>0</v>
      </c>
      <c r="R94" s="1">
        <f t="shared" si="43"/>
        <v>134627</v>
      </c>
      <c r="S94" s="1">
        <f>FLOOR((G94)*IF(B94&lt;=3,VLOOKUP(A94-1,割合!A:B,2,FALSE),VLOOKUP(A94,割合!A:B,2,FALSE)),1)</f>
        <v>1368</v>
      </c>
      <c r="T94" s="1">
        <f t="shared" si="41"/>
        <v>37515</v>
      </c>
      <c r="U94" s="1">
        <f t="shared" si="98"/>
        <v>8295</v>
      </c>
      <c r="V94" s="1">
        <f t="shared" si="99"/>
        <v>5522</v>
      </c>
      <c r="W94" s="1">
        <v>0</v>
      </c>
      <c r="X94" s="1">
        <v>-953</v>
      </c>
      <c r="Y94" s="1">
        <f t="shared" si="102"/>
        <v>28700</v>
      </c>
      <c r="Z94" s="1">
        <f>Z93</f>
        <v>3100</v>
      </c>
      <c r="AA94" s="1">
        <f t="shared" si="73"/>
        <v>0</v>
      </c>
      <c r="AB94" s="1">
        <f t="shared" si="84"/>
        <v>1910</v>
      </c>
      <c r="AC94" s="1">
        <v>0</v>
      </c>
      <c r="AD94" s="1">
        <f t="shared" si="82"/>
        <v>49170</v>
      </c>
      <c r="AE94" s="1">
        <v>0</v>
      </c>
      <c r="AF94" s="1">
        <f t="shared" ref="AF94" si="105">SUM(AG94:AI94)</f>
        <v>1124000</v>
      </c>
      <c r="AG94" s="1">
        <v>340000</v>
      </c>
      <c r="AH94" s="1">
        <v>784000</v>
      </c>
      <c r="AI94" s="1">
        <v>0</v>
      </c>
      <c r="AJ94" s="1">
        <f t="shared" ref="AJ94" si="106">SUM(AK94:AP94)</f>
        <v>303805</v>
      </c>
      <c r="AK94" s="1">
        <f>FLOOR(AF94*VLOOKUP(A94,割合!A:B,2,FALSE),1)</f>
        <v>3372</v>
      </c>
      <c r="AL94" s="1">
        <v>102846</v>
      </c>
      <c r="AM94" s="1">
        <v>22738</v>
      </c>
      <c r="AN94" s="1">
        <v>15140</v>
      </c>
      <c r="AO94" s="1">
        <v>0</v>
      </c>
      <c r="AP94" s="1">
        <v>159709</v>
      </c>
      <c r="AQ94" s="1">
        <f>SUM(H83:H94)+SUM(AF83:AF94)</f>
        <v>7409010</v>
      </c>
      <c r="AR94" s="1">
        <f t="shared" ref="AR94" si="107">AQ94-AQ82</f>
        <v>945829</v>
      </c>
      <c r="AS94" s="1">
        <f t="shared" ref="AS94" si="108">AR94/12</f>
        <v>78819.083333333328</v>
      </c>
      <c r="AT94" s="1">
        <f>SUM(C83:C94)+SUM(AC83:AE94)</f>
        <v>5737817</v>
      </c>
      <c r="AU94" s="1">
        <f t="shared" ref="AU94" si="109">AT94-AT82</f>
        <v>662290</v>
      </c>
      <c r="AV94" s="1">
        <f t="shared" ref="AV94" si="110">AU94/12</f>
        <v>55190.833333333336</v>
      </c>
      <c r="AW94" s="3">
        <f>AT94/AQ94</f>
        <v>0.77443774539378407</v>
      </c>
    </row>
    <row r="95" spans="1:49">
      <c r="A95">
        <f t="shared" si="95"/>
        <v>2023</v>
      </c>
      <c r="B95">
        <f t="shared" si="96"/>
        <v>1</v>
      </c>
      <c r="C95" s="1">
        <f t="shared" si="42"/>
        <v>324025</v>
      </c>
      <c r="D95" s="1">
        <f>F95-R95</f>
        <v>324025</v>
      </c>
      <c r="F95" s="1">
        <f t="shared" si="69"/>
        <v>424516</v>
      </c>
      <c r="G95" s="1">
        <f t="shared" si="70"/>
        <v>419816</v>
      </c>
      <c r="H95" s="1">
        <f t="shared" si="71"/>
        <v>424516</v>
      </c>
      <c r="I95" s="1">
        <f t="shared" si="103"/>
        <v>300500</v>
      </c>
      <c r="J95" s="1">
        <v>64316</v>
      </c>
      <c r="K95" s="1">
        <v>0</v>
      </c>
      <c r="L95" s="1">
        <f>55000</f>
        <v>55000</v>
      </c>
      <c r="M95" s="1">
        <f>(24+23)*100</f>
        <v>4700</v>
      </c>
      <c r="N95" s="1">
        <v>0</v>
      </c>
      <c r="O95" s="1">
        <v>0</v>
      </c>
      <c r="P95" s="1">
        <v>0</v>
      </c>
      <c r="Q95" s="1">
        <v>0</v>
      </c>
      <c r="R95" s="1">
        <f t="shared" si="43"/>
        <v>100491</v>
      </c>
      <c r="S95" s="1">
        <f>FLOOR((G95)*IF(B95&lt;=3,VLOOKUP(A95-1,割合!A:B,2,FALSE),VLOOKUP(A95,割合!A:B,2,FALSE)),1)</f>
        <v>1259</v>
      </c>
      <c r="T95" s="1">
        <f t="shared" si="41"/>
        <v>37515</v>
      </c>
      <c r="U95" s="1">
        <f t="shared" si="98"/>
        <v>8295</v>
      </c>
      <c r="V95" s="1">
        <f t="shared" si="99"/>
        <v>5522</v>
      </c>
      <c r="W95" s="1">
        <v>0</v>
      </c>
      <c r="X95" s="1">
        <v>14190</v>
      </c>
      <c r="Y95" s="1">
        <f t="shared" si="102"/>
        <v>28700</v>
      </c>
      <c r="Z95" s="1">
        <f t="shared" ref="Z95:AB142" si="111">Z94</f>
        <v>3100</v>
      </c>
      <c r="AA95" s="1">
        <f t="shared" si="73"/>
        <v>0</v>
      </c>
      <c r="AB95" s="1">
        <f t="shared" si="84"/>
        <v>1910</v>
      </c>
      <c r="AC95" s="1">
        <v>0</v>
      </c>
      <c r="AD95" s="1">
        <v>0</v>
      </c>
      <c r="AE95" s="1">
        <v>0</v>
      </c>
    </row>
    <row r="96" spans="1:49">
      <c r="A96">
        <f t="shared" si="95"/>
        <v>2023</v>
      </c>
      <c r="B96">
        <f t="shared" si="96"/>
        <v>2</v>
      </c>
      <c r="C96" s="1">
        <f t="shared" si="42"/>
        <v>299678</v>
      </c>
      <c r="D96" s="1">
        <f>F96-R96</f>
        <v>299678</v>
      </c>
      <c r="F96" s="1">
        <f t="shared" si="69"/>
        <v>441616</v>
      </c>
      <c r="G96" s="1">
        <f t="shared" si="70"/>
        <v>438316</v>
      </c>
      <c r="H96" s="1">
        <f t="shared" si="71"/>
        <v>441616</v>
      </c>
      <c r="I96" s="1">
        <f t="shared" si="103"/>
        <v>300500</v>
      </c>
      <c r="J96" s="1">
        <v>82816</v>
      </c>
      <c r="K96" s="1">
        <v>0</v>
      </c>
      <c r="L96" s="1">
        <f>55000</f>
        <v>55000</v>
      </c>
      <c r="M96" s="1">
        <f>23*100</f>
        <v>2300</v>
      </c>
      <c r="N96" s="1">
        <v>1000</v>
      </c>
      <c r="O96" s="1">
        <v>0</v>
      </c>
      <c r="P96" s="1">
        <v>0</v>
      </c>
      <c r="Q96" s="1">
        <v>0</v>
      </c>
      <c r="R96" s="1">
        <f t="shared" si="43"/>
        <v>141938</v>
      </c>
      <c r="S96" s="1">
        <f>FLOOR((G96)*IF(B96&lt;=3,VLOOKUP(A96-1,割合!A:B,2,FALSE),VLOOKUP(A96,割合!A:B,2,FALSE)),1)</f>
        <v>1314</v>
      </c>
      <c r="T96" s="1">
        <f t="shared" si="41"/>
        <v>37515</v>
      </c>
      <c r="U96" s="1">
        <f t="shared" si="98"/>
        <v>8295</v>
      </c>
      <c r="V96" s="1">
        <f t="shared" si="99"/>
        <v>5522</v>
      </c>
      <c r="W96" s="1">
        <v>0</v>
      </c>
      <c r="X96" s="1">
        <v>15580</v>
      </c>
      <c r="Y96" s="1">
        <f t="shared" si="102"/>
        <v>28700</v>
      </c>
      <c r="Z96" s="1">
        <f t="shared" si="111"/>
        <v>3100</v>
      </c>
      <c r="AA96" s="1">
        <f t="shared" si="73"/>
        <v>0</v>
      </c>
      <c r="AB96" s="1">
        <f t="shared" si="84"/>
        <v>1910</v>
      </c>
      <c r="AC96" s="1">
        <v>0</v>
      </c>
      <c r="AD96" s="1">
        <f t="shared" si="82"/>
        <v>0</v>
      </c>
      <c r="AE96" s="1">
        <v>40002</v>
      </c>
    </row>
    <row r="97" spans="1:49">
      <c r="A97">
        <f t="shared" si="95"/>
        <v>2023</v>
      </c>
      <c r="B97">
        <f t="shared" si="96"/>
        <v>3</v>
      </c>
      <c r="C97" s="1">
        <f t="shared" si="42"/>
        <v>355437</v>
      </c>
      <c r="D97" s="1">
        <f>F97-R97</f>
        <v>355437</v>
      </c>
      <c r="F97" s="1">
        <f t="shared" si="69"/>
        <v>458818</v>
      </c>
      <c r="G97" s="1">
        <f t="shared" si="70"/>
        <v>456518</v>
      </c>
      <c r="H97" s="1">
        <f t="shared" si="71"/>
        <v>458818</v>
      </c>
      <c r="I97" s="1">
        <f t="shared" si="103"/>
        <v>300500</v>
      </c>
      <c r="J97" s="1">
        <v>101018</v>
      </c>
      <c r="K97" s="1">
        <v>0</v>
      </c>
      <c r="L97" s="1">
        <f>55000</f>
        <v>55000</v>
      </c>
      <c r="M97" s="1">
        <f>23*100</f>
        <v>2300</v>
      </c>
      <c r="N97" s="1">
        <v>0</v>
      </c>
      <c r="O97" s="1">
        <v>0</v>
      </c>
      <c r="P97" s="1">
        <v>0</v>
      </c>
      <c r="Q97" s="1">
        <v>0</v>
      </c>
      <c r="R97" s="1">
        <f t="shared" si="43"/>
        <v>103381</v>
      </c>
      <c r="S97" s="1">
        <f>FLOOR((G97)*IF(B97&lt;=3,VLOOKUP(A97-1,割合!A:B,2,FALSE),VLOOKUP(A97,割合!A:B,2,FALSE)),1)</f>
        <v>1369</v>
      </c>
      <c r="T97" s="1">
        <f t="shared" ref="T97:T142" si="112">T96</f>
        <v>37515</v>
      </c>
      <c r="U97" s="1">
        <f t="shared" si="98"/>
        <v>8295</v>
      </c>
      <c r="V97" s="1">
        <f t="shared" si="99"/>
        <v>5522</v>
      </c>
      <c r="W97" s="1">
        <v>0</v>
      </c>
      <c r="X97" s="1">
        <v>16970</v>
      </c>
      <c r="Y97" s="1">
        <f t="shared" si="102"/>
        <v>28700</v>
      </c>
      <c r="Z97" s="1">
        <f t="shared" si="111"/>
        <v>3100</v>
      </c>
      <c r="AA97" s="1">
        <f t="shared" si="73"/>
        <v>0</v>
      </c>
      <c r="AB97" s="1">
        <f t="shared" si="84"/>
        <v>1910</v>
      </c>
      <c r="AC97" s="1">
        <v>0</v>
      </c>
      <c r="AD97" s="1">
        <f t="shared" si="82"/>
        <v>0</v>
      </c>
      <c r="AE97" s="1">
        <v>0</v>
      </c>
    </row>
    <row r="98" spans="1:49">
      <c r="A98">
        <f t="shared" si="95"/>
        <v>2023</v>
      </c>
      <c r="B98">
        <f t="shared" si="96"/>
        <v>4</v>
      </c>
      <c r="C98" s="1">
        <f t="shared" si="42"/>
        <v>349112</v>
      </c>
      <c r="D98" s="1">
        <f>F98-R98</f>
        <v>349112</v>
      </c>
      <c r="F98" s="1">
        <f t="shared" si="69"/>
        <v>453510</v>
      </c>
      <c r="G98" s="1">
        <f t="shared" si="70"/>
        <v>451110</v>
      </c>
      <c r="H98" s="1">
        <f t="shared" si="71"/>
        <v>453510</v>
      </c>
      <c r="I98" s="1">
        <v>314400</v>
      </c>
      <c r="J98" s="1">
        <v>81710</v>
      </c>
      <c r="K98" s="1">
        <v>0</v>
      </c>
      <c r="L98" s="1">
        <f>55000</f>
        <v>55000</v>
      </c>
      <c r="M98" s="1">
        <f>24*100</f>
        <v>2400</v>
      </c>
      <c r="N98" s="1">
        <v>0</v>
      </c>
      <c r="O98" s="1">
        <v>0</v>
      </c>
      <c r="P98" s="1">
        <v>0</v>
      </c>
      <c r="Q98" s="1">
        <v>0</v>
      </c>
      <c r="R98" s="1">
        <f t="shared" si="43"/>
        <v>104398</v>
      </c>
      <c r="S98" s="1">
        <f>FLOOR((G98)*IF(B98&lt;=3,VLOOKUP(A98-1,割合!A:B,2,FALSE),VLOOKUP(A98,割合!A:B,2,FALSE)),1)</f>
        <v>2706</v>
      </c>
      <c r="T98" s="1">
        <f t="shared" si="112"/>
        <v>37515</v>
      </c>
      <c r="U98" s="1">
        <v>8036</v>
      </c>
      <c r="V98" s="1">
        <v>5781</v>
      </c>
      <c r="W98" s="1">
        <v>0</v>
      </c>
      <c r="X98" s="1">
        <v>16510</v>
      </c>
      <c r="Y98" s="1">
        <f t="shared" si="102"/>
        <v>28700</v>
      </c>
      <c r="Z98" s="1">
        <v>3240</v>
      </c>
      <c r="AA98" s="1">
        <f t="shared" si="73"/>
        <v>0</v>
      </c>
      <c r="AB98" s="1">
        <f t="shared" si="84"/>
        <v>1910</v>
      </c>
      <c r="AC98" s="1">
        <v>0</v>
      </c>
      <c r="AD98" s="1">
        <f t="shared" si="82"/>
        <v>0</v>
      </c>
      <c r="AE98" s="1">
        <v>0</v>
      </c>
    </row>
    <row r="99" spans="1:49">
      <c r="A99">
        <f t="shared" si="95"/>
        <v>2023</v>
      </c>
      <c r="B99">
        <f t="shared" si="96"/>
        <v>5</v>
      </c>
      <c r="C99" s="1">
        <f t="shared" si="42"/>
        <v>284082</v>
      </c>
      <c r="D99" s="1">
        <f>F99-R99</f>
        <v>284082</v>
      </c>
      <c r="F99" s="1">
        <f t="shared" si="69"/>
        <v>382200</v>
      </c>
      <c r="G99" s="1">
        <f t="shared" si="70"/>
        <v>369400</v>
      </c>
      <c r="H99" s="1">
        <f t="shared" si="71"/>
        <v>382200</v>
      </c>
      <c r="I99" s="1">
        <f t="shared" si="103"/>
        <v>314400</v>
      </c>
      <c r="J99" s="1">
        <v>0</v>
      </c>
      <c r="K99" s="1">
        <v>0</v>
      </c>
      <c r="L99" s="1">
        <f>55000</f>
        <v>55000</v>
      </c>
      <c r="M99" s="1">
        <f>20*140</f>
        <v>2800</v>
      </c>
      <c r="N99" s="1">
        <v>10000</v>
      </c>
      <c r="O99" s="1">
        <v>0</v>
      </c>
      <c r="P99" s="1">
        <v>0</v>
      </c>
      <c r="Q99" s="1">
        <v>0</v>
      </c>
      <c r="R99" s="1">
        <f t="shared" si="43"/>
        <v>98118</v>
      </c>
      <c r="S99" s="1">
        <f>FLOOR((G99)*IF(B99&lt;=3,VLOOKUP(A99-1,割合!A:B,2,FALSE),VLOOKUP(A99,割合!A:B,2,FALSE)),1)</f>
        <v>2216</v>
      </c>
      <c r="T99" s="1">
        <f t="shared" si="112"/>
        <v>37515</v>
      </c>
      <c r="U99" s="1">
        <f t="shared" si="98"/>
        <v>8036</v>
      </c>
      <c r="V99" s="1">
        <f t="shared" si="99"/>
        <v>5781</v>
      </c>
      <c r="W99" s="1">
        <v>0</v>
      </c>
      <c r="X99" s="1">
        <v>10720</v>
      </c>
      <c r="Y99" s="1">
        <f t="shared" si="102"/>
        <v>28700</v>
      </c>
      <c r="Z99" s="1">
        <f t="shared" si="111"/>
        <v>3240</v>
      </c>
      <c r="AA99" s="1">
        <f t="shared" si="73"/>
        <v>0</v>
      </c>
      <c r="AB99" s="1">
        <f t="shared" si="84"/>
        <v>1910</v>
      </c>
      <c r="AC99" s="1">
        <v>0</v>
      </c>
      <c r="AD99" s="1">
        <f t="shared" si="82"/>
        <v>0</v>
      </c>
      <c r="AE99" s="1">
        <v>0</v>
      </c>
    </row>
    <row r="100" spans="1:49">
      <c r="A100">
        <f t="shared" si="95"/>
        <v>2023</v>
      </c>
      <c r="B100">
        <f t="shared" si="96"/>
        <v>6</v>
      </c>
      <c r="C100" s="1">
        <f t="shared" si="42"/>
        <v>1346335</v>
      </c>
      <c r="D100" s="1">
        <f>F100-R100</f>
        <v>299573</v>
      </c>
      <c r="E100" s="1">
        <f t="shared" ref="E100" si="113">AF100-AJ100</f>
        <v>1046762</v>
      </c>
      <c r="F100" s="1">
        <f t="shared" si="69"/>
        <v>406262</v>
      </c>
      <c r="G100" s="1">
        <f t="shared" si="70"/>
        <v>406262</v>
      </c>
      <c r="H100" s="1">
        <f t="shared" si="71"/>
        <v>406262</v>
      </c>
      <c r="I100" s="1">
        <f t="shared" si="103"/>
        <v>314400</v>
      </c>
      <c r="J100" s="1">
        <v>36862</v>
      </c>
      <c r="K100" s="1">
        <v>0</v>
      </c>
      <c r="L100" s="1">
        <f>55000</f>
        <v>55000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f t="shared" si="43"/>
        <v>106689</v>
      </c>
      <c r="S100" s="1">
        <f>FLOOR((G100)*IF(B100&lt;=3,VLOOKUP(A100-1,割合!A:B,2,FALSE),VLOOKUP(A100,割合!A:B,2,FALSE)),1)</f>
        <v>2437</v>
      </c>
      <c r="T100" s="1">
        <f t="shared" si="112"/>
        <v>37515</v>
      </c>
      <c r="U100" s="1">
        <f t="shared" si="98"/>
        <v>8036</v>
      </c>
      <c r="V100" s="1">
        <f t="shared" si="99"/>
        <v>5781</v>
      </c>
      <c r="W100" s="1">
        <v>0</v>
      </c>
      <c r="X100" s="1">
        <v>12670</v>
      </c>
      <c r="Y100" s="1">
        <v>35100</v>
      </c>
      <c r="Z100" s="1">
        <f t="shared" si="111"/>
        <v>3240</v>
      </c>
      <c r="AA100" s="1">
        <f t="shared" si="73"/>
        <v>0</v>
      </c>
      <c r="AB100" s="1">
        <f t="shared" si="84"/>
        <v>1910</v>
      </c>
      <c r="AC100" s="1">
        <v>0</v>
      </c>
      <c r="AD100" s="1">
        <f t="shared" si="82"/>
        <v>0</v>
      </c>
      <c r="AE100" s="1">
        <v>0</v>
      </c>
      <c r="AF100" s="1">
        <f t="shared" ref="AF100" si="114">SUM(AG100:AI100)</f>
        <v>1312000</v>
      </c>
      <c r="AG100" s="1">
        <v>340000</v>
      </c>
      <c r="AH100" s="1">
        <v>942000</v>
      </c>
      <c r="AI100" s="1">
        <v>30000</v>
      </c>
      <c r="AJ100" s="1">
        <f t="shared" ref="AJ100" si="115">SUM(AK100:AP100)</f>
        <v>265238</v>
      </c>
      <c r="AK100" s="1">
        <f>FLOOR(AF100*VLOOKUP(A100,割合!A:B,2,FALSE),1)</f>
        <v>7872</v>
      </c>
      <c r="AL100" s="1">
        <v>120048</v>
      </c>
      <c r="AM100" s="1">
        <v>25715</v>
      </c>
      <c r="AN100" s="1">
        <v>18499</v>
      </c>
      <c r="AO100" s="1">
        <v>0</v>
      </c>
      <c r="AP100" s="1">
        <v>93104</v>
      </c>
    </row>
    <row r="101" spans="1:49">
      <c r="A101">
        <f t="shared" si="95"/>
        <v>2023</v>
      </c>
      <c r="B101">
        <f t="shared" si="96"/>
        <v>7</v>
      </c>
      <c r="C101" s="1">
        <f t="shared" si="42"/>
        <v>296903</v>
      </c>
      <c r="D101" s="1">
        <f>F101-R101</f>
        <v>296903</v>
      </c>
      <c r="F101" s="1">
        <f t="shared" si="69"/>
        <v>403209</v>
      </c>
      <c r="G101" s="1">
        <f t="shared" si="70"/>
        <v>400689</v>
      </c>
      <c r="H101" s="1">
        <f t="shared" si="71"/>
        <v>403209</v>
      </c>
      <c r="I101" s="1">
        <f t="shared" si="103"/>
        <v>314400</v>
      </c>
      <c r="J101" s="1">
        <v>31289</v>
      </c>
      <c r="K101" s="1">
        <v>0</v>
      </c>
      <c r="L101" s="1">
        <f>55000</f>
        <v>55000</v>
      </c>
      <c r="M101" s="1">
        <v>2520</v>
      </c>
      <c r="N101" s="1">
        <v>0</v>
      </c>
      <c r="O101" s="1">
        <v>0</v>
      </c>
      <c r="P101" s="1">
        <v>0</v>
      </c>
      <c r="Q101" s="1">
        <v>0</v>
      </c>
      <c r="R101" s="1">
        <f t="shared" si="43"/>
        <v>106306</v>
      </c>
      <c r="S101" s="1">
        <f>FLOOR((G101)*IF(B101&lt;=3,VLOOKUP(A101-1,割合!A:B,2,FALSE),VLOOKUP(A101,割合!A:B,2,FALSE)),1)</f>
        <v>2404</v>
      </c>
      <c r="T101" s="1">
        <f t="shared" si="112"/>
        <v>37515</v>
      </c>
      <c r="U101" s="1">
        <f t="shared" si="98"/>
        <v>8036</v>
      </c>
      <c r="V101" s="1">
        <f t="shared" si="99"/>
        <v>5781</v>
      </c>
      <c r="W101" s="1">
        <v>0</v>
      </c>
      <c r="X101" s="1">
        <v>12420</v>
      </c>
      <c r="Y101" s="1">
        <v>35000</v>
      </c>
      <c r="Z101" s="1">
        <f t="shared" si="111"/>
        <v>3240</v>
      </c>
      <c r="AA101" s="1">
        <f t="shared" si="73"/>
        <v>0</v>
      </c>
      <c r="AB101" s="1">
        <f t="shared" si="84"/>
        <v>1910</v>
      </c>
      <c r="AC101" s="1">
        <v>0</v>
      </c>
      <c r="AD101" s="1">
        <f t="shared" si="82"/>
        <v>0</v>
      </c>
      <c r="AE101" s="1">
        <v>0</v>
      </c>
    </row>
    <row r="102" spans="1:49">
      <c r="A102">
        <f t="shared" si="95"/>
        <v>2023</v>
      </c>
      <c r="B102">
        <f t="shared" si="96"/>
        <v>8</v>
      </c>
      <c r="C102" s="1">
        <f t="shared" si="42"/>
        <v>436714</v>
      </c>
      <c r="D102" s="1">
        <f>F102-R102</f>
        <v>436714</v>
      </c>
      <c r="F102" s="1">
        <f t="shared" si="69"/>
        <v>561631</v>
      </c>
      <c r="G102" s="1">
        <f t="shared" si="70"/>
        <v>419331</v>
      </c>
      <c r="H102" s="1">
        <f t="shared" si="71"/>
        <v>561631</v>
      </c>
      <c r="I102" s="1">
        <f t="shared" si="103"/>
        <v>314400</v>
      </c>
      <c r="J102" s="1">
        <v>49931</v>
      </c>
      <c r="K102" s="1">
        <v>0</v>
      </c>
      <c r="L102" s="1">
        <f>55000</f>
        <v>55000</v>
      </c>
      <c r="M102" s="1">
        <v>6300</v>
      </c>
      <c r="N102" s="1">
        <v>136000</v>
      </c>
      <c r="O102" s="1">
        <v>0</v>
      </c>
      <c r="P102" s="1">
        <v>0</v>
      </c>
      <c r="Q102" s="1">
        <v>0</v>
      </c>
      <c r="R102" s="1">
        <f t="shared" si="43"/>
        <v>124917</v>
      </c>
      <c r="S102" s="1">
        <f>FLOOR((G102)*IF(B102&lt;=3,VLOOKUP(A102-1,割合!A:B,2,FALSE),VLOOKUP(A102,割合!A:B,2,FALSE)),1)</f>
        <v>2515</v>
      </c>
      <c r="T102" s="1">
        <f t="shared" si="112"/>
        <v>37515</v>
      </c>
      <c r="U102" s="1">
        <f t="shared" si="98"/>
        <v>8036</v>
      </c>
      <c r="V102" s="1">
        <f t="shared" si="99"/>
        <v>5781</v>
      </c>
      <c r="W102" s="1">
        <v>0</v>
      </c>
      <c r="X102" s="1">
        <v>30920</v>
      </c>
      <c r="Y102" s="1">
        <f t="shared" ref="Y102:Y111" si="116">Y101</f>
        <v>35000</v>
      </c>
      <c r="Z102" s="1">
        <f t="shared" si="111"/>
        <v>3240</v>
      </c>
      <c r="AA102" s="1">
        <f t="shared" si="73"/>
        <v>0</v>
      </c>
      <c r="AB102" s="1">
        <f t="shared" si="84"/>
        <v>1910</v>
      </c>
      <c r="AC102" s="1">
        <v>0</v>
      </c>
      <c r="AD102" s="1">
        <f t="shared" si="82"/>
        <v>0</v>
      </c>
      <c r="AE102" s="1">
        <v>0</v>
      </c>
    </row>
    <row r="103" spans="1:49">
      <c r="A103">
        <f t="shared" si="95"/>
        <v>2023</v>
      </c>
      <c r="B103">
        <f t="shared" si="96"/>
        <v>9</v>
      </c>
      <c r="C103" s="1">
        <f t="shared" ref="C103:C125" si="117">D103+E103</f>
        <v>315738</v>
      </c>
      <c r="D103" s="1">
        <f>F103-R103</f>
        <v>315738</v>
      </c>
      <c r="F103" s="1">
        <f t="shared" si="69"/>
        <v>423842</v>
      </c>
      <c r="G103" s="1">
        <f t="shared" si="70"/>
        <v>420342</v>
      </c>
      <c r="H103" s="1">
        <f t="shared" si="71"/>
        <v>423842</v>
      </c>
      <c r="I103" s="1">
        <f t="shared" si="103"/>
        <v>314400</v>
      </c>
      <c r="J103" s="1">
        <v>50942</v>
      </c>
      <c r="K103" s="1">
        <v>0</v>
      </c>
      <c r="L103" s="1">
        <f>55000</f>
        <v>55000</v>
      </c>
      <c r="M103" s="1">
        <v>3500</v>
      </c>
      <c r="N103" s="1">
        <v>0</v>
      </c>
      <c r="O103" s="1">
        <v>0</v>
      </c>
      <c r="P103" s="1">
        <v>0</v>
      </c>
      <c r="Q103" s="1">
        <v>0</v>
      </c>
      <c r="R103" s="1">
        <f t="shared" ref="R103:R125" si="118">SUM(S103:AE103)</f>
        <v>108104</v>
      </c>
      <c r="S103" s="1">
        <f>FLOOR((G103)*IF(B103&lt;=3,VLOOKUP(A103-1,割合!A:B,2,FALSE),VLOOKUP(A103,割合!A:B,2,FALSE)),1)</f>
        <v>2522</v>
      </c>
      <c r="T103" s="1">
        <f t="shared" si="112"/>
        <v>37515</v>
      </c>
      <c r="U103" s="1">
        <f t="shared" si="98"/>
        <v>8036</v>
      </c>
      <c r="V103" s="1">
        <f t="shared" si="99"/>
        <v>5781</v>
      </c>
      <c r="W103" s="1">
        <v>0</v>
      </c>
      <c r="X103" s="1">
        <v>14100</v>
      </c>
      <c r="Y103" s="1">
        <f t="shared" si="116"/>
        <v>35000</v>
      </c>
      <c r="Z103" s="1">
        <f t="shared" si="111"/>
        <v>3240</v>
      </c>
      <c r="AA103" s="1">
        <f t="shared" si="73"/>
        <v>0</v>
      </c>
      <c r="AB103" s="1">
        <f t="shared" si="84"/>
        <v>1910</v>
      </c>
      <c r="AC103" s="1">
        <v>0</v>
      </c>
      <c r="AD103" s="1">
        <f t="shared" si="82"/>
        <v>0</v>
      </c>
      <c r="AE103" s="1">
        <v>0</v>
      </c>
    </row>
    <row r="104" spans="1:49">
      <c r="A104">
        <f t="shared" si="95"/>
        <v>2023</v>
      </c>
      <c r="B104">
        <f t="shared" si="96"/>
        <v>10</v>
      </c>
      <c r="C104" s="1">
        <f t="shared" si="117"/>
        <v>335105</v>
      </c>
      <c r="D104" s="1">
        <f>F104-R104</f>
        <v>335105</v>
      </c>
      <c r="F104" s="1">
        <f t="shared" si="69"/>
        <v>445058</v>
      </c>
      <c r="G104" s="1">
        <f t="shared" si="70"/>
        <v>441978</v>
      </c>
      <c r="H104" s="1">
        <f t="shared" si="71"/>
        <v>445058</v>
      </c>
      <c r="I104" s="1">
        <f t="shared" si="103"/>
        <v>314400</v>
      </c>
      <c r="J104" s="1">
        <v>72578</v>
      </c>
      <c r="K104" s="1">
        <v>0</v>
      </c>
      <c r="L104" s="1">
        <f>55000</f>
        <v>55000</v>
      </c>
      <c r="M104" s="1">
        <v>3080</v>
      </c>
      <c r="N104" s="1">
        <v>0</v>
      </c>
      <c r="O104" s="1">
        <v>0</v>
      </c>
      <c r="P104" s="1">
        <v>0</v>
      </c>
      <c r="Q104" s="1">
        <v>0</v>
      </c>
      <c r="R104" s="1">
        <f t="shared" si="118"/>
        <v>109953</v>
      </c>
      <c r="S104" s="1">
        <f>FLOOR((G104)*IF(B104&lt;=3,VLOOKUP(A104-1,割合!A:B,2,FALSE),VLOOKUP(A104,割合!A:B,2,FALSE)),1)</f>
        <v>2651</v>
      </c>
      <c r="T104" s="1">
        <f t="shared" si="112"/>
        <v>37515</v>
      </c>
      <c r="U104" s="1">
        <f t="shared" si="98"/>
        <v>8036</v>
      </c>
      <c r="V104" s="1">
        <f t="shared" si="99"/>
        <v>5781</v>
      </c>
      <c r="W104" s="1">
        <v>0</v>
      </c>
      <c r="X104" s="1">
        <v>15820</v>
      </c>
      <c r="Y104" s="1">
        <f t="shared" si="116"/>
        <v>35000</v>
      </c>
      <c r="Z104" s="1">
        <f t="shared" si="111"/>
        <v>3240</v>
      </c>
      <c r="AA104" s="1">
        <f t="shared" si="73"/>
        <v>0</v>
      </c>
      <c r="AB104" s="1">
        <f t="shared" si="84"/>
        <v>1910</v>
      </c>
      <c r="AC104" s="1">
        <v>0</v>
      </c>
      <c r="AD104" s="1">
        <f t="shared" si="82"/>
        <v>0</v>
      </c>
      <c r="AE104" s="1">
        <v>0</v>
      </c>
    </row>
    <row r="105" spans="1:49">
      <c r="A105">
        <f t="shared" si="95"/>
        <v>2023</v>
      </c>
      <c r="B105">
        <f t="shared" si="96"/>
        <v>11</v>
      </c>
      <c r="C105" s="1">
        <f t="shared" si="117"/>
        <v>313151</v>
      </c>
      <c r="D105" s="1">
        <f>F105-R105</f>
        <v>313151</v>
      </c>
      <c r="F105" s="1">
        <f t="shared" si="69"/>
        <v>421012</v>
      </c>
      <c r="G105" s="1">
        <f t="shared" si="70"/>
        <v>418212</v>
      </c>
      <c r="H105" s="1">
        <f t="shared" si="71"/>
        <v>421012</v>
      </c>
      <c r="I105" s="1">
        <f t="shared" si="103"/>
        <v>314400</v>
      </c>
      <c r="J105" s="1">
        <v>48812</v>
      </c>
      <c r="K105" s="1">
        <v>0</v>
      </c>
      <c r="L105" s="1">
        <f>55000</f>
        <v>55000</v>
      </c>
      <c r="M105" s="1">
        <v>2800</v>
      </c>
      <c r="N105" s="1">
        <v>0</v>
      </c>
      <c r="O105" s="1">
        <v>0</v>
      </c>
      <c r="P105" s="1">
        <v>0</v>
      </c>
      <c r="Q105" s="1">
        <v>0</v>
      </c>
      <c r="R105" s="1">
        <f t="shared" si="118"/>
        <v>107861</v>
      </c>
      <c r="S105" s="1">
        <f>FLOOR((G105)*IF(B105&lt;=3,VLOOKUP(A105-1,割合!A:B,2,FALSE),VLOOKUP(A105,割合!A:B,2,FALSE)),1)</f>
        <v>2509</v>
      </c>
      <c r="T105" s="1">
        <f t="shared" si="112"/>
        <v>37515</v>
      </c>
      <c r="U105" s="1">
        <f t="shared" si="98"/>
        <v>8036</v>
      </c>
      <c r="V105" s="1">
        <f t="shared" si="99"/>
        <v>5781</v>
      </c>
      <c r="W105" s="1">
        <v>0</v>
      </c>
      <c r="X105" s="1">
        <v>13870</v>
      </c>
      <c r="Y105" s="1">
        <f t="shared" si="116"/>
        <v>35000</v>
      </c>
      <c r="Z105" s="1">
        <f t="shared" si="111"/>
        <v>3240</v>
      </c>
      <c r="AA105" s="1">
        <f t="shared" si="73"/>
        <v>0</v>
      </c>
      <c r="AB105" s="1">
        <f t="shared" si="84"/>
        <v>1910</v>
      </c>
      <c r="AC105" s="1">
        <v>0</v>
      </c>
      <c r="AD105" s="1">
        <f t="shared" si="82"/>
        <v>0</v>
      </c>
      <c r="AE105" s="1">
        <v>0</v>
      </c>
    </row>
    <row r="106" spans="1:49">
      <c r="A106">
        <f t="shared" si="95"/>
        <v>2023</v>
      </c>
      <c r="B106">
        <f t="shared" si="96"/>
        <v>12</v>
      </c>
      <c r="C106" s="1">
        <f t="shared" si="117"/>
        <v>1135858</v>
      </c>
      <c r="D106" s="1">
        <f>F106-R106</f>
        <v>282020</v>
      </c>
      <c r="E106" s="1">
        <f t="shared" ref="E106" si="119">AF106-AJ106</f>
        <v>853838</v>
      </c>
      <c r="F106" s="1">
        <f t="shared" si="69"/>
        <v>428059</v>
      </c>
      <c r="G106" s="1">
        <f t="shared" si="70"/>
        <v>424979</v>
      </c>
      <c r="H106" s="1">
        <f t="shared" si="71"/>
        <v>428059</v>
      </c>
      <c r="I106" s="1">
        <f t="shared" si="103"/>
        <v>314400</v>
      </c>
      <c r="J106" s="1">
        <v>55579</v>
      </c>
      <c r="K106" s="1">
        <v>0</v>
      </c>
      <c r="L106" s="1">
        <f>55000</f>
        <v>55000</v>
      </c>
      <c r="M106" s="1">
        <v>3080</v>
      </c>
      <c r="N106" s="1">
        <v>0</v>
      </c>
      <c r="O106" s="1">
        <v>0</v>
      </c>
      <c r="P106" s="1">
        <v>0</v>
      </c>
      <c r="Q106" s="1">
        <v>0</v>
      </c>
      <c r="R106" s="1">
        <f t="shared" si="118"/>
        <v>146039</v>
      </c>
      <c r="S106" s="1">
        <f>FLOOR((G106)*IF(B106&lt;=3,VLOOKUP(A106-1,割合!A:B,2,FALSE),VLOOKUP(A106,割合!A:B,2,FALSE)),1)</f>
        <v>2549</v>
      </c>
      <c r="T106" s="1">
        <f t="shared" si="112"/>
        <v>37515</v>
      </c>
      <c r="U106" s="1">
        <f t="shared" si="98"/>
        <v>8036</v>
      </c>
      <c r="V106" s="1">
        <f t="shared" si="99"/>
        <v>5781</v>
      </c>
      <c r="W106" s="1">
        <v>0</v>
      </c>
      <c r="X106" s="1">
        <v>52008</v>
      </c>
      <c r="Y106" s="1">
        <f t="shared" si="116"/>
        <v>35000</v>
      </c>
      <c r="Z106" s="1">
        <f t="shared" si="111"/>
        <v>3240</v>
      </c>
      <c r="AA106" s="1">
        <f t="shared" si="73"/>
        <v>0</v>
      </c>
      <c r="AB106" s="1">
        <f t="shared" si="84"/>
        <v>1910</v>
      </c>
      <c r="AC106" s="1">
        <v>0</v>
      </c>
      <c r="AD106" s="1">
        <f t="shared" si="82"/>
        <v>0</v>
      </c>
      <c r="AE106" s="1">
        <v>0</v>
      </c>
      <c r="AF106" s="1">
        <f t="shared" ref="AF106" si="120">SUM(AG106:AI106)</f>
        <v>1120000</v>
      </c>
      <c r="AG106" s="1">
        <v>340000</v>
      </c>
      <c r="AH106" s="1">
        <v>780000</v>
      </c>
      <c r="AI106" s="1">
        <v>0</v>
      </c>
      <c r="AJ106" s="1">
        <f t="shared" ref="AJ106" si="121">SUM(AK106:AP106)</f>
        <v>266162</v>
      </c>
      <c r="AK106" s="1">
        <f>FLOOR(AF106*VLOOKUP(A106,割合!A:B,2,FALSE),1)</f>
        <v>6720</v>
      </c>
      <c r="AL106" s="1">
        <v>102480</v>
      </c>
      <c r="AM106" s="1">
        <v>21952</v>
      </c>
      <c r="AN106" s="1">
        <v>15792</v>
      </c>
      <c r="AO106" s="1">
        <v>0</v>
      </c>
      <c r="AP106" s="1">
        <v>119218</v>
      </c>
      <c r="AQ106" s="1">
        <f>SUM(H95:H106)+SUM(AF95:AF106)</f>
        <v>7681733</v>
      </c>
      <c r="AR106" s="1">
        <f t="shared" ref="AR106" si="122">AQ106-AQ94</f>
        <v>272723</v>
      </c>
      <c r="AS106" s="1">
        <f t="shared" ref="AS106" si="123">AR106/12</f>
        <v>22726.916666666668</v>
      </c>
      <c r="AT106" s="1">
        <f>SUM(C95:C106)+SUM(AC95:AE106)</f>
        <v>5832140</v>
      </c>
      <c r="AU106" s="1">
        <f t="shared" ref="AU106" si="124">AT106-AT94</f>
        <v>94323</v>
      </c>
      <c r="AV106" s="1">
        <f t="shared" ref="AV106" si="125">AU106/12</f>
        <v>7860.25</v>
      </c>
      <c r="AW106" s="3">
        <f>AT106/AQ106</f>
        <v>0.75922190995182992</v>
      </c>
    </row>
    <row r="107" spans="1:49">
      <c r="A107">
        <f t="shared" si="95"/>
        <v>2024</v>
      </c>
      <c r="B107">
        <f t="shared" si="96"/>
        <v>1</v>
      </c>
      <c r="C107" s="1">
        <f t="shared" si="117"/>
        <v>320327</v>
      </c>
      <c r="D107" s="1">
        <f>F107-R107</f>
        <v>320327</v>
      </c>
      <c r="F107" s="1">
        <f t="shared" si="69"/>
        <v>428873</v>
      </c>
      <c r="G107" s="1">
        <f t="shared" si="70"/>
        <v>425793</v>
      </c>
      <c r="H107" s="1">
        <f t="shared" si="71"/>
        <v>428873</v>
      </c>
      <c r="I107" s="1">
        <f t="shared" si="103"/>
        <v>314400</v>
      </c>
      <c r="J107" s="1">
        <v>56393</v>
      </c>
      <c r="K107" s="1">
        <v>0</v>
      </c>
      <c r="L107" s="1">
        <f>55000</f>
        <v>55000</v>
      </c>
      <c r="M107" s="1">
        <v>3080</v>
      </c>
      <c r="N107" s="1">
        <v>0</v>
      </c>
      <c r="O107" s="1">
        <v>0</v>
      </c>
      <c r="P107" s="1">
        <v>0</v>
      </c>
      <c r="Q107" s="1">
        <v>0</v>
      </c>
      <c r="R107" s="1">
        <f t="shared" si="118"/>
        <v>108546</v>
      </c>
      <c r="S107" s="1">
        <f>FLOOR((G107)*IF(B107&lt;=3,VLOOKUP(A107-1,割合!A:B,2,FALSE),VLOOKUP(A107,割合!A:B,2,FALSE)),1)</f>
        <v>2554</v>
      </c>
      <c r="T107" s="1">
        <f t="shared" si="112"/>
        <v>37515</v>
      </c>
      <c r="U107" s="1">
        <f t="shared" si="98"/>
        <v>8036</v>
      </c>
      <c r="V107" s="1">
        <f t="shared" si="99"/>
        <v>5781</v>
      </c>
      <c r="W107" s="1">
        <v>0</v>
      </c>
      <c r="X107" s="1">
        <v>14510</v>
      </c>
      <c r="Y107" s="1">
        <f t="shared" si="116"/>
        <v>35000</v>
      </c>
      <c r="Z107" s="1">
        <f t="shared" si="111"/>
        <v>3240</v>
      </c>
      <c r="AA107" s="1">
        <f t="shared" si="73"/>
        <v>0</v>
      </c>
      <c r="AB107" s="1">
        <f t="shared" si="84"/>
        <v>1910</v>
      </c>
      <c r="AC107" s="1">
        <v>0</v>
      </c>
      <c r="AD107" s="1">
        <f t="shared" si="82"/>
        <v>0</v>
      </c>
      <c r="AE107" s="1">
        <v>0</v>
      </c>
    </row>
    <row r="108" spans="1:49">
      <c r="A108">
        <f t="shared" si="95"/>
        <v>2024</v>
      </c>
      <c r="B108">
        <f t="shared" si="96"/>
        <v>2</v>
      </c>
      <c r="C108" s="1">
        <f t="shared" si="117"/>
        <v>348360</v>
      </c>
      <c r="D108" s="1">
        <f>F108-R108</f>
        <v>348360</v>
      </c>
      <c r="F108" s="1">
        <f t="shared" si="69"/>
        <v>459581</v>
      </c>
      <c r="G108" s="1">
        <f t="shared" si="70"/>
        <v>456641</v>
      </c>
      <c r="H108" s="1">
        <f t="shared" si="71"/>
        <v>459581</v>
      </c>
      <c r="I108" s="1">
        <f t="shared" si="103"/>
        <v>314400</v>
      </c>
      <c r="J108" s="1">
        <v>87241</v>
      </c>
      <c r="K108" s="1">
        <v>0</v>
      </c>
      <c r="L108" s="1">
        <f>55000</f>
        <v>55000</v>
      </c>
      <c r="M108" s="1">
        <v>2940</v>
      </c>
      <c r="N108" s="1">
        <v>0</v>
      </c>
      <c r="O108" s="1">
        <v>0</v>
      </c>
      <c r="P108" s="1">
        <v>0</v>
      </c>
      <c r="Q108" s="1">
        <v>0</v>
      </c>
      <c r="R108" s="1">
        <f t="shared" si="118"/>
        <v>111221</v>
      </c>
      <c r="S108" s="1">
        <f>FLOOR((G108)*IF(B108&lt;=3,VLOOKUP(A108-1,割合!A:B,2,FALSE),VLOOKUP(A108,割合!A:B,2,FALSE)),1)</f>
        <v>2739</v>
      </c>
      <c r="T108" s="1">
        <f t="shared" si="112"/>
        <v>37515</v>
      </c>
      <c r="U108" s="1">
        <f t="shared" si="98"/>
        <v>8036</v>
      </c>
      <c r="V108" s="1">
        <f t="shared" si="99"/>
        <v>5781</v>
      </c>
      <c r="W108" s="1">
        <v>0</v>
      </c>
      <c r="X108" s="1">
        <v>17000</v>
      </c>
      <c r="Y108" s="1">
        <f t="shared" si="116"/>
        <v>35000</v>
      </c>
      <c r="Z108" s="1">
        <f t="shared" si="111"/>
        <v>3240</v>
      </c>
      <c r="AA108" s="1">
        <f t="shared" si="73"/>
        <v>0</v>
      </c>
      <c r="AB108" s="1">
        <f t="shared" si="84"/>
        <v>1910</v>
      </c>
      <c r="AC108" s="1">
        <v>0</v>
      </c>
      <c r="AD108" s="1">
        <f t="shared" si="82"/>
        <v>0</v>
      </c>
      <c r="AE108" s="1">
        <v>0</v>
      </c>
    </row>
    <row r="109" spans="1:49">
      <c r="A109">
        <f t="shared" si="95"/>
        <v>2024</v>
      </c>
      <c r="B109">
        <f t="shared" si="96"/>
        <v>3</v>
      </c>
      <c r="C109" s="1">
        <f t="shared" si="117"/>
        <v>367606</v>
      </c>
      <c r="D109" s="1">
        <f>F109-R109</f>
        <v>367606</v>
      </c>
      <c r="F109" s="1">
        <f t="shared" si="69"/>
        <v>480662</v>
      </c>
      <c r="G109" s="1">
        <f t="shared" si="70"/>
        <v>477442</v>
      </c>
      <c r="H109" s="1">
        <f t="shared" si="71"/>
        <v>480662</v>
      </c>
      <c r="I109" s="1">
        <f t="shared" si="103"/>
        <v>314400</v>
      </c>
      <c r="J109" s="1">
        <v>108042</v>
      </c>
      <c r="K109" s="1">
        <v>0</v>
      </c>
      <c r="L109" s="1">
        <f>55000</f>
        <v>55000</v>
      </c>
      <c r="M109" s="1">
        <f>23*140</f>
        <v>3220</v>
      </c>
      <c r="N109" s="1">
        <v>0</v>
      </c>
      <c r="O109" s="1">
        <v>0</v>
      </c>
      <c r="P109" s="1">
        <v>0</v>
      </c>
      <c r="Q109" s="1">
        <v>0</v>
      </c>
      <c r="R109" s="1">
        <f t="shared" si="118"/>
        <v>113056</v>
      </c>
      <c r="S109" s="1">
        <f>FLOOR((G109)*IF(B109&lt;=3,VLOOKUP(A109-1,割合!A:B,2,FALSE),VLOOKUP(A109,割合!A:B,2,FALSE)),1)</f>
        <v>2864</v>
      </c>
      <c r="T109" s="1">
        <f t="shared" si="112"/>
        <v>37515</v>
      </c>
      <c r="U109" s="1">
        <f t="shared" si="98"/>
        <v>8036</v>
      </c>
      <c r="V109" s="1">
        <f t="shared" si="99"/>
        <v>5781</v>
      </c>
      <c r="W109" s="1">
        <v>0</v>
      </c>
      <c r="X109" s="1">
        <v>18710</v>
      </c>
      <c r="Y109" s="1">
        <f t="shared" si="116"/>
        <v>35000</v>
      </c>
      <c r="Z109" s="1">
        <f t="shared" si="111"/>
        <v>3240</v>
      </c>
      <c r="AA109" s="1">
        <f t="shared" si="73"/>
        <v>0</v>
      </c>
      <c r="AB109" s="1">
        <f t="shared" si="84"/>
        <v>1910</v>
      </c>
      <c r="AC109" s="1">
        <v>0</v>
      </c>
      <c r="AD109" s="1">
        <f t="shared" si="82"/>
        <v>0</v>
      </c>
      <c r="AE109" s="1">
        <v>0</v>
      </c>
    </row>
    <row r="110" spans="1:49">
      <c r="A110">
        <f t="shared" si="95"/>
        <v>2024</v>
      </c>
      <c r="B110">
        <f t="shared" si="96"/>
        <v>4</v>
      </c>
      <c r="C110" s="1">
        <f t="shared" si="117"/>
        <v>345655</v>
      </c>
      <c r="D110" s="1">
        <f>F110-R110</f>
        <v>345655</v>
      </c>
      <c r="F110" s="1">
        <f t="shared" si="69"/>
        <v>456868</v>
      </c>
      <c r="G110" s="1">
        <f t="shared" si="70"/>
        <v>456868</v>
      </c>
      <c r="H110" s="1">
        <f t="shared" si="71"/>
        <v>456868</v>
      </c>
      <c r="I110" s="1">
        <v>335600</v>
      </c>
      <c r="J110" s="1">
        <v>66268</v>
      </c>
      <c r="K110" s="1">
        <v>0</v>
      </c>
      <c r="L110" s="1">
        <f>55000</f>
        <v>55000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f t="shared" si="118"/>
        <v>111213</v>
      </c>
      <c r="S110" s="1">
        <f>FLOOR((G110)*IF(B110&lt;=3,VLOOKUP(A110-1,割合!A:B,2,FALSE),VLOOKUP(A110,割合!A:B,2,FALSE)),1)</f>
        <v>2741</v>
      </c>
      <c r="T110" s="1">
        <f t="shared" si="112"/>
        <v>37515</v>
      </c>
      <c r="U110" s="1">
        <v>7409</v>
      </c>
      <c r="V110" s="1">
        <v>6408</v>
      </c>
      <c r="W110" s="1">
        <v>0</v>
      </c>
      <c r="X110" s="1">
        <v>16780</v>
      </c>
      <c r="Y110" s="1">
        <f t="shared" si="116"/>
        <v>35000</v>
      </c>
      <c r="Z110" s="1">
        <v>3450</v>
      </c>
      <c r="AA110" s="1">
        <f t="shared" si="73"/>
        <v>0</v>
      </c>
      <c r="AB110" s="1">
        <f t="shared" si="84"/>
        <v>1910</v>
      </c>
      <c r="AC110" s="1">
        <v>0</v>
      </c>
      <c r="AD110" s="1">
        <f t="shared" si="82"/>
        <v>0</v>
      </c>
      <c r="AE110" s="1">
        <v>0</v>
      </c>
    </row>
    <row r="111" spans="1:49">
      <c r="A111">
        <f t="shared" si="95"/>
        <v>2024</v>
      </c>
      <c r="B111">
        <f t="shared" si="96"/>
        <v>5</v>
      </c>
      <c r="C111" s="1">
        <f t="shared" si="117"/>
        <v>148229</v>
      </c>
      <c r="D111" s="1">
        <f>F111-R111</f>
        <v>148229</v>
      </c>
      <c r="F111" s="1">
        <f t="shared" si="69"/>
        <v>437872</v>
      </c>
      <c r="G111" s="1">
        <f t="shared" si="70"/>
        <v>431852</v>
      </c>
      <c r="H111" s="1">
        <f t="shared" si="71"/>
        <v>437872</v>
      </c>
      <c r="I111" s="1">
        <f t="shared" si="103"/>
        <v>335600</v>
      </c>
      <c r="J111" s="1">
        <v>41252</v>
      </c>
      <c r="K111" s="1">
        <v>0</v>
      </c>
      <c r="L111" s="1">
        <f>55000</f>
        <v>55000</v>
      </c>
      <c r="M111" s="1">
        <v>6020</v>
      </c>
      <c r="N111" s="1">
        <v>0</v>
      </c>
      <c r="O111" s="1">
        <v>0</v>
      </c>
      <c r="P111" s="1">
        <v>0</v>
      </c>
      <c r="Q111" s="1">
        <v>0</v>
      </c>
      <c r="R111" s="1">
        <f t="shared" si="118"/>
        <v>289643</v>
      </c>
      <c r="S111" s="1">
        <f>FLOOR((G111)*IF(B111&lt;=3,VLOOKUP(A111-1,割合!A:B,2,FALSE),VLOOKUP(A111,割合!A:B,2,FALSE)),1)</f>
        <v>2591</v>
      </c>
      <c r="T111" s="1">
        <f t="shared" si="112"/>
        <v>37515</v>
      </c>
      <c r="U111" s="1">
        <f t="shared" si="98"/>
        <v>7409</v>
      </c>
      <c r="V111" s="1">
        <f t="shared" si="99"/>
        <v>6408</v>
      </c>
      <c r="W111" s="1">
        <v>0</v>
      </c>
      <c r="X111" s="1">
        <v>15240</v>
      </c>
      <c r="Y111" s="1">
        <f t="shared" si="116"/>
        <v>35000</v>
      </c>
      <c r="Z111" s="1">
        <f t="shared" si="111"/>
        <v>3450</v>
      </c>
      <c r="AA111" s="1">
        <f>AA110</f>
        <v>0</v>
      </c>
      <c r="AB111" s="1">
        <f t="shared" si="84"/>
        <v>1910</v>
      </c>
      <c r="AC111" s="1">
        <v>0</v>
      </c>
      <c r="AD111" s="1">
        <f>124000-35000+170</f>
        <v>89170</v>
      </c>
      <c r="AE111" s="1">
        <f>89170+1780</f>
        <v>90950</v>
      </c>
    </row>
    <row r="112" spans="1:49">
      <c r="A112">
        <f t="shared" si="95"/>
        <v>2024</v>
      </c>
      <c r="B112">
        <f t="shared" si="96"/>
        <v>6</v>
      </c>
      <c r="C112" s="1">
        <f t="shared" si="117"/>
        <v>1374906</v>
      </c>
      <c r="D112" s="1">
        <f>F112-R112</f>
        <v>292856</v>
      </c>
      <c r="E112" s="1">
        <f t="shared" ref="E112" si="126">AF112-AJ112</f>
        <v>1082050</v>
      </c>
      <c r="F112" s="1">
        <f t="shared" si="69"/>
        <v>458350</v>
      </c>
      <c r="G112" s="1">
        <f t="shared" si="70"/>
        <v>455410</v>
      </c>
      <c r="H112" s="1">
        <f t="shared" si="71"/>
        <v>458350</v>
      </c>
      <c r="I112" s="1">
        <f t="shared" si="103"/>
        <v>335600</v>
      </c>
      <c r="J112" s="1">
        <v>64810</v>
      </c>
      <c r="K112" s="1">
        <v>0</v>
      </c>
      <c r="L112" s="1">
        <f>55000</f>
        <v>55000</v>
      </c>
      <c r="M112" s="1">
        <v>2940</v>
      </c>
      <c r="N112" s="1">
        <v>0</v>
      </c>
      <c r="O112" s="1">
        <v>0</v>
      </c>
      <c r="P112" s="1">
        <v>0</v>
      </c>
      <c r="Q112" s="1">
        <v>0</v>
      </c>
      <c r="R112" s="1">
        <f t="shared" si="118"/>
        <v>165494</v>
      </c>
      <c r="S112" s="1">
        <f>FLOOR((G112)*IF(B112&lt;=3,VLOOKUP(A112-1,割合!A:B,2,FALSE),VLOOKUP(A112,割合!A:B,2,FALSE)),1)</f>
        <v>2732</v>
      </c>
      <c r="T112" s="1">
        <f t="shared" si="112"/>
        <v>37515</v>
      </c>
      <c r="U112" s="1">
        <f t="shared" si="98"/>
        <v>7409</v>
      </c>
      <c r="V112" s="1">
        <f t="shared" si="99"/>
        <v>6408</v>
      </c>
      <c r="W112" s="1">
        <v>0</v>
      </c>
      <c r="X112" s="1">
        <v>16900</v>
      </c>
      <c r="Y112" s="1">
        <v>0</v>
      </c>
      <c r="Z112" s="1">
        <f t="shared" si="111"/>
        <v>3450</v>
      </c>
      <c r="AA112" s="1">
        <f t="shared" ref="AA112:AB142" si="127">AA111</f>
        <v>0</v>
      </c>
      <c r="AB112" s="1">
        <f t="shared" si="84"/>
        <v>1910</v>
      </c>
      <c r="AC112" s="1">
        <v>0</v>
      </c>
      <c r="AD112" s="1">
        <f t="shared" si="82"/>
        <v>89170</v>
      </c>
      <c r="AE112" s="1">
        <v>0</v>
      </c>
      <c r="AF112" s="1">
        <f t="shared" ref="AF112" si="128">SUM(AG112:AI112)</f>
        <v>1380000</v>
      </c>
      <c r="AG112" s="1">
        <v>340000</v>
      </c>
      <c r="AH112" s="1">
        <v>1010000</v>
      </c>
      <c r="AI112" s="1">
        <v>30000</v>
      </c>
      <c r="AJ112" s="1">
        <f t="shared" ref="AJ112" si="129">SUM(AK112:AP112)</f>
        <v>297950</v>
      </c>
      <c r="AK112" s="1">
        <f>FLOOR(AF112*VLOOKUP(A112,割合!A:B,2,FALSE),1)</f>
        <v>8280</v>
      </c>
      <c r="AL112" s="1">
        <v>126270</v>
      </c>
      <c r="AM112" s="1">
        <v>24937</v>
      </c>
      <c r="AN112" s="1">
        <v>21569</v>
      </c>
      <c r="AO112" s="1">
        <v>0</v>
      </c>
      <c r="AP112" s="1">
        <v>116894</v>
      </c>
    </row>
    <row r="113" spans="1:49">
      <c r="A113">
        <f t="shared" si="95"/>
        <v>2024</v>
      </c>
      <c r="B113">
        <f t="shared" si="96"/>
        <v>7</v>
      </c>
      <c r="C113" s="1">
        <f t="shared" si="117"/>
        <v>194857</v>
      </c>
      <c r="D113" s="1">
        <f>F113-R113</f>
        <v>194857</v>
      </c>
      <c r="F113" s="1">
        <f t="shared" si="69"/>
        <v>394259</v>
      </c>
      <c r="G113" s="1">
        <f t="shared" si="70"/>
        <v>391739</v>
      </c>
      <c r="H113" s="1">
        <f t="shared" si="71"/>
        <v>394259</v>
      </c>
      <c r="I113" s="1">
        <f t="shared" si="103"/>
        <v>335600</v>
      </c>
      <c r="J113" s="1">
        <v>1139</v>
      </c>
      <c r="K113" s="1">
        <v>0</v>
      </c>
      <c r="L113" s="1">
        <f>55000</f>
        <v>55000</v>
      </c>
      <c r="M113" s="1">
        <v>2520</v>
      </c>
      <c r="N113" s="1">
        <v>0</v>
      </c>
      <c r="O113" s="1">
        <v>0</v>
      </c>
      <c r="P113" s="1">
        <v>0</v>
      </c>
      <c r="Q113" s="1">
        <v>0</v>
      </c>
      <c r="R113" s="1">
        <f t="shared" si="118"/>
        <v>199402</v>
      </c>
      <c r="S113" s="1">
        <f>FLOOR((G113)*IF(B113&lt;=3,VLOOKUP(A113-1,割合!A:B,2,FALSE),VLOOKUP(A113,割合!A:B,2,FALSE)),1)</f>
        <v>2350</v>
      </c>
      <c r="T113" s="1">
        <f t="shared" si="112"/>
        <v>37515</v>
      </c>
      <c r="U113" s="1">
        <f t="shared" si="98"/>
        <v>7409</v>
      </c>
      <c r="V113" s="1">
        <f t="shared" si="99"/>
        <v>6408</v>
      </c>
      <c r="W113" s="1">
        <v>0</v>
      </c>
      <c r="X113" s="1">
        <v>11690</v>
      </c>
      <c r="Y113" s="1">
        <v>39500</v>
      </c>
      <c r="Z113" s="1">
        <f t="shared" si="111"/>
        <v>3450</v>
      </c>
      <c r="AA113" s="1">
        <f t="shared" si="127"/>
        <v>0</v>
      </c>
      <c r="AB113" s="1">
        <f t="shared" si="84"/>
        <v>1910</v>
      </c>
      <c r="AC113" s="1">
        <v>0</v>
      </c>
      <c r="AD113" s="1">
        <f t="shared" si="82"/>
        <v>89170</v>
      </c>
      <c r="AE113" s="1">
        <v>0</v>
      </c>
    </row>
    <row r="114" spans="1:49">
      <c r="A114">
        <f t="shared" si="95"/>
        <v>2024</v>
      </c>
      <c r="B114">
        <f t="shared" si="96"/>
        <v>8</v>
      </c>
      <c r="C114" s="1">
        <f t="shared" si="117"/>
        <v>199202</v>
      </c>
      <c r="D114" s="1">
        <f>F114-R114</f>
        <v>199202</v>
      </c>
      <c r="F114" s="1">
        <f t="shared" si="69"/>
        <v>398365</v>
      </c>
      <c r="G114" s="1">
        <f t="shared" si="70"/>
        <v>395285</v>
      </c>
      <c r="H114" s="1">
        <f t="shared" si="71"/>
        <v>398365</v>
      </c>
      <c r="I114" s="1">
        <f t="shared" si="103"/>
        <v>335600</v>
      </c>
      <c r="J114" s="1">
        <v>4685</v>
      </c>
      <c r="K114" s="1">
        <v>0</v>
      </c>
      <c r="L114" s="1">
        <f>55000</f>
        <v>55000</v>
      </c>
      <c r="M114" s="1">
        <v>3080</v>
      </c>
      <c r="N114" s="1">
        <v>0</v>
      </c>
      <c r="O114" s="1">
        <v>0</v>
      </c>
      <c r="P114" s="1">
        <v>0</v>
      </c>
      <c r="Q114" s="1">
        <v>0</v>
      </c>
      <c r="R114" s="1">
        <f t="shared" si="118"/>
        <v>199163</v>
      </c>
      <c r="S114" s="1">
        <f>FLOOR((G114)*IF(B114&lt;=3,VLOOKUP(A114-1,割合!A:B,2,FALSE),VLOOKUP(A114,割合!A:B,2,FALSE)),1)</f>
        <v>2371</v>
      </c>
      <c r="T114" s="1">
        <f t="shared" si="112"/>
        <v>37515</v>
      </c>
      <c r="U114" s="1">
        <f t="shared" si="98"/>
        <v>7409</v>
      </c>
      <c r="V114" s="1">
        <f t="shared" si="99"/>
        <v>6408</v>
      </c>
      <c r="W114" s="1">
        <v>0</v>
      </c>
      <c r="X114" s="1">
        <v>12030</v>
      </c>
      <c r="Y114" s="1">
        <v>38900</v>
      </c>
      <c r="Z114" s="1">
        <f t="shared" si="111"/>
        <v>3450</v>
      </c>
      <c r="AA114" s="1">
        <f t="shared" si="127"/>
        <v>0</v>
      </c>
      <c r="AB114" s="1">
        <f t="shared" si="84"/>
        <v>1910</v>
      </c>
      <c r="AC114" s="1">
        <v>0</v>
      </c>
      <c r="AD114" s="1">
        <f t="shared" si="82"/>
        <v>89170</v>
      </c>
      <c r="AE114" s="1">
        <v>0</v>
      </c>
    </row>
    <row r="115" spans="1:49">
      <c r="A115">
        <f t="shared" si="95"/>
        <v>2024</v>
      </c>
      <c r="B115">
        <f t="shared" si="96"/>
        <v>9</v>
      </c>
      <c r="C115" s="1">
        <f t="shared" si="117"/>
        <v>250013</v>
      </c>
      <c r="D115" s="1">
        <f>F115-R115</f>
        <v>250013</v>
      </c>
      <c r="F115" s="1">
        <f t="shared" si="69"/>
        <v>454030</v>
      </c>
      <c r="G115" s="1">
        <f t="shared" si="70"/>
        <v>450950</v>
      </c>
      <c r="H115" s="1">
        <f t="shared" si="71"/>
        <v>454030</v>
      </c>
      <c r="I115" s="1">
        <f t="shared" si="103"/>
        <v>335600</v>
      </c>
      <c r="J115" s="1">
        <v>60350</v>
      </c>
      <c r="K115" s="1">
        <v>0</v>
      </c>
      <c r="L115" s="1">
        <f>55000</f>
        <v>55000</v>
      </c>
      <c r="M115" s="1">
        <v>3080</v>
      </c>
      <c r="N115" s="1">
        <v>0</v>
      </c>
      <c r="O115" s="1">
        <v>0</v>
      </c>
      <c r="P115" s="1">
        <v>0</v>
      </c>
      <c r="Q115" s="1">
        <v>0</v>
      </c>
      <c r="R115" s="1">
        <f t="shared" si="118"/>
        <v>204017</v>
      </c>
      <c r="S115" s="1">
        <f>FLOOR((G115)*IF(B115&lt;=3,VLOOKUP(A115-1,割合!A:B,2,FALSE),VLOOKUP(A115,割合!A:B,2,FALSE)),1)</f>
        <v>2705</v>
      </c>
      <c r="T115" s="1">
        <f t="shared" si="112"/>
        <v>37515</v>
      </c>
      <c r="U115" s="1">
        <f t="shared" si="98"/>
        <v>7409</v>
      </c>
      <c r="V115" s="1">
        <f t="shared" si="99"/>
        <v>6408</v>
      </c>
      <c r="W115" s="1">
        <v>0</v>
      </c>
      <c r="X115" s="1">
        <v>16550</v>
      </c>
      <c r="Y115" s="1">
        <f t="shared" ref="Y115:Y123" si="130">Y114</f>
        <v>38900</v>
      </c>
      <c r="Z115" s="1">
        <f t="shared" si="111"/>
        <v>3450</v>
      </c>
      <c r="AA115" s="1">
        <f t="shared" si="127"/>
        <v>0</v>
      </c>
      <c r="AB115" s="1">
        <f t="shared" si="84"/>
        <v>1910</v>
      </c>
      <c r="AC115" s="1">
        <v>0</v>
      </c>
      <c r="AD115" s="1">
        <f t="shared" si="82"/>
        <v>89170</v>
      </c>
      <c r="AE115" s="1">
        <v>0</v>
      </c>
    </row>
    <row r="116" spans="1:49">
      <c r="A116">
        <f t="shared" si="95"/>
        <v>2024</v>
      </c>
      <c r="B116">
        <f t="shared" si="96"/>
        <v>10</v>
      </c>
      <c r="C116" s="1">
        <f t="shared" si="117"/>
        <v>193714</v>
      </c>
      <c r="D116" s="1">
        <f>F116-R116</f>
        <v>193714</v>
      </c>
      <c r="F116" s="1">
        <f t="shared" si="69"/>
        <v>396135</v>
      </c>
      <c r="G116" s="1">
        <f t="shared" si="70"/>
        <v>393895</v>
      </c>
      <c r="H116" s="1">
        <f t="shared" si="71"/>
        <v>396135</v>
      </c>
      <c r="I116" s="1">
        <f t="shared" si="103"/>
        <v>335600</v>
      </c>
      <c r="J116" s="1">
        <v>3295</v>
      </c>
      <c r="K116" s="1">
        <v>0</v>
      </c>
      <c r="L116" s="1">
        <f>55000</f>
        <v>55000</v>
      </c>
      <c r="M116" s="1">
        <v>2240</v>
      </c>
      <c r="N116" s="1">
        <v>0</v>
      </c>
      <c r="O116" s="1">
        <v>0</v>
      </c>
      <c r="P116" s="1">
        <v>0</v>
      </c>
      <c r="Q116" s="1">
        <v>0</v>
      </c>
      <c r="R116" s="1">
        <f t="shared" si="118"/>
        <v>202421</v>
      </c>
      <c r="S116" s="1">
        <f>FLOOR((G116)*IF(B116&lt;=3,VLOOKUP(A116-1,割合!A:B,2,FALSE),VLOOKUP(A116,割合!A:B,2,FALSE)),1)</f>
        <v>2363</v>
      </c>
      <c r="T116" s="1">
        <v>40260</v>
      </c>
      <c r="U116" s="1">
        <v>7951</v>
      </c>
      <c r="V116" s="1">
        <v>6877</v>
      </c>
      <c r="W116" s="1">
        <v>0</v>
      </c>
      <c r="X116" s="1">
        <v>11540</v>
      </c>
      <c r="Y116" s="1">
        <f t="shared" si="130"/>
        <v>38900</v>
      </c>
      <c r="Z116" s="1">
        <f t="shared" si="111"/>
        <v>3450</v>
      </c>
      <c r="AA116" s="1">
        <f t="shared" si="127"/>
        <v>0</v>
      </c>
      <c r="AB116" s="1">
        <f t="shared" si="84"/>
        <v>1910</v>
      </c>
      <c r="AC116" s="1">
        <v>0</v>
      </c>
      <c r="AD116" s="1">
        <f t="shared" si="82"/>
        <v>89170</v>
      </c>
      <c r="AE116" s="1">
        <v>0</v>
      </c>
    </row>
    <row r="117" spans="1:49">
      <c r="A117">
        <f t="shared" si="95"/>
        <v>2024</v>
      </c>
      <c r="B117">
        <f t="shared" si="96"/>
        <v>11</v>
      </c>
      <c r="C117" s="1">
        <f t="shared" si="117"/>
        <v>190661</v>
      </c>
      <c r="D117" s="1">
        <f>F117-R117</f>
        <v>190661</v>
      </c>
      <c r="F117" s="1">
        <f t="shared" si="69"/>
        <v>392946</v>
      </c>
      <c r="G117" s="1">
        <f t="shared" si="70"/>
        <v>392946</v>
      </c>
      <c r="H117" s="1">
        <f t="shared" si="71"/>
        <v>392946</v>
      </c>
      <c r="I117" s="1">
        <f t="shared" si="103"/>
        <v>335600</v>
      </c>
      <c r="J117" s="1">
        <v>2346</v>
      </c>
      <c r="K117" s="1">
        <v>0</v>
      </c>
      <c r="L117" s="1">
        <f>55000</f>
        <v>55000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f t="shared" si="118"/>
        <v>202285</v>
      </c>
      <c r="S117" s="1">
        <f>FLOOR((G117)*IF(B117&lt;=3,VLOOKUP(A117-1,割合!A:B,2,FALSE),VLOOKUP(A117,割合!A:B,2,FALSE)),1)</f>
        <v>2357</v>
      </c>
      <c r="T117" s="1">
        <f t="shared" si="112"/>
        <v>40260</v>
      </c>
      <c r="U117" s="1">
        <f t="shared" si="98"/>
        <v>7951</v>
      </c>
      <c r="V117" s="1">
        <f t="shared" si="99"/>
        <v>6877</v>
      </c>
      <c r="W117" s="1">
        <v>0</v>
      </c>
      <c r="X117" s="1">
        <v>11280</v>
      </c>
      <c r="Y117" s="1">
        <f t="shared" si="130"/>
        <v>38900</v>
      </c>
      <c r="Z117" s="1">
        <f t="shared" si="111"/>
        <v>3450</v>
      </c>
      <c r="AA117" s="1">
        <f t="shared" si="127"/>
        <v>0</v>
      </c>
      <c r="AB117" s="1">
        <f t="shared" si="84"/>
        <v>1910</v>
      </c>
      <c r="AC117" s="1">
        <v>130</v>
      </c>
      <c r="AD117" s="1">
        <f t="shared" si="82"/>
        <v>89170</v>
      </c>
      <c r="AE117" s="1">
        <v>0</v>
      </c>
    </row>
    <row r="118" spans="1:49">
      <c r="A118">
        <f t="shared" si="95"/>
        <v>2024</v>
      </c>
      <c r="B118">
        <f t="shared" si="96"/>
        <v>12</v>
      </c>
      <c r="C118" s="1">
        <f t="shared" si="117"/>
        <v>979548</v>
      </c>
      <c r="D118" s="1">
        <f>F118-R118</f>
        <v>215054</v>
      </c>
      <c r="E118" s="1">
        <f t="shared" ref="E118" si="131">AF118-AJ118</f>
        <v>764494</v>
      </c>
      <c r="F118" s="1">
        <f t="shared" si="69"/>
        <v>420889</v>
      </c>
      <c r="G118" s="1">
        <f t="shared" si="70"/>
        <v>413589</v>
      </c>
      <c r="H118" s="1">
        <f t="shared" si="71"/>
        <v>420889</v>
      </c>
      <c r="I118" s="1">
        <f t="shared" si="103"/>
        <v>335600</v>
      </c>
      <c r="J118" s="1">
        <v>22989</v>
      </c>
      <c r="K118" s="1">
        <v>0</v>
      </c>
      <c r="L118" s="1">
        <f>55000</f>
        <v>55000</v>
      </c>
      <c r="M118" s="1">
        <v>6300</v>
      </c>
      <c r="N118" s="1">
        <v>1000</v>
      </c>
      <c r="O118" s="1">
        <v>0</v>
      </c>
      <c r="P118" s="1">
        <v>0</v>
      </c>
      <c r="Q118" s="1">
        <v>0</v>
      </c>
      <c r="R118" s="1">
        <f t="shared" si="118"/>
        <v>205835</v>
      </c>
      <c r="S118" s="1">
        <f>FLOOR((G118)*IF(B118&lt;=3,VLOOKUP(A118-1,割合!A:B,2,FALSE),VLOOKUP(A118,割合!A:B,2,FALSE)),1)</f>
        <v>2481</v>
      </c>
      <c r="T118" s="1">
        <f t="shared" si="112"/>
        <v>40260</v>
      </c>
      <c r="U118" s="1">
        <f t="shared" si="98"/>
        <v>7951</v>
      </c>
      <c r="V118" s="1">
        <f t="shared" si="99"/>
        <v>6877</v>
      </c>
      <c r="W118" s="1">
        <v>0</v>
      </c>
      <c r="X118" s="1">
        <v>14446</v>
      </c>
      <c r="Y118" s="1">
        <f t="shared" si="130"/>
        <v>38900</v>
      </c>
      <c r="Z118" s="1">
        <f t="shared" si="111"/>
        <v>3450</v>
      </c>
      <c r="AA118" s="1">
        <f t="shared" si="127"/>
        <v>0</v>
      </c>
      <c r="AB118" s="1">
        <f t="shared" si="84"/>
        <v>1910</v>
      </c>
      <c r="AC118" s="1">
        <v>390</v>
      </c>
      <c r="AD118" s="1">
        <f t="shared" si="82"/>
        <v>89170</v>
      </c>
      <c r="AE118" s="1">
        <v>0</v>
      </c>
      <c r="AF118" s="1">
        <f t="shared" ref="AF118" si="132">SUM(AG118:AI118)</f>
        <v>980000</v>
      </c>
      <c r="AG118" s="1">
        <v>680000</v>
      </c>
      <c r="AH118" s="1">
        <v>300000</v>
      </c>
      <c r="AI118" s="1">
        <v>0</v>
      </c>
      <c r="AJ118" s="1">
        <f t="shared" ref="AJ118" si="133">SUM(AK118:AP118)</f>
        <v>215506</v>
      </c>
      <c r="AK118" s="1">
        <f>FLOOR(AF118*VLOOKUP(A118,割合!A:B,2,FALSE),1)</f>
        <v>5880</v>
      </c>
      <c r="AL118" s="1">
        <v>89670</v>
      </c>
      <c r="AM118" s="1">
        <v>17709</v>
      </c>
      <c r="AN118" s="1">
        <v>15317</v>
      </c>
      <c r="AO118" s="1">
        <v>0</v>
      </c>
      <c r="AP118" s="1">
        <v>86930</v>
      </c>
      <c r="AQ118" s="1">
        <f>SUM(H107:H118)+SUM(AF107:AF118)</f>
        <v>7538830</v>
      </c>
      <c r="AR118" s="1">
        <f t="shared" ref="AR118" si="134">AQ118-AQ106</f>
        <v>-142903</v>
      </c>
      <c r="AS118" s="1">
        <f t="shared" ref="AS118" si="135">AR118/12</f>
        <v>-11908.583333333334</v>
      </c>
      <c r="AT118" s="1">
        <f>SUM(C107:C118)+SUM(AC107:AE118)</f>
        <v>5717908</v>
      </c>
      <c r="AU118" s="1">
        <f t="shared" ref="AU118" si="136">AT118-AT106</f>
        <v>-114232</v>
      </c>
      <c r="AV118" s="1">
        <f t="shared" ref="AV118" si="137">AU118/12</f>
        <v>-9519.3333333333339</v>
      </c>
      <c r="AW118" s="3">
        <f>AT118/AQ118</f>
        <v>0.75846092828728062</v>
      </c>
    </row>
    <row r="119" spans="1:49">
      <c r="A119">
        <f t="shared" si="95"/>
        <v>2025</v>
      </c>
      <c r="B119">
        <f t="shared" si="96"/>
        <v>1</v>
      </c>
      <c r="C119" s="1">
        <f t="shared" si="117"/>
        <v>203408</v>
      </c>
      <c r="D119" s="1">
        <f>F119-R119</f>
        <v>203408</v>
      </c>
      <c r="F119" s="1">
        <f t="shared" si="69"/>
        <v>407039</v>
      </c>
      <c r="G119" s="1">
        <f t="shared" si="70"/>
        <v>403889</v>
      </c>
      <c r="H119" s="1">
        <f t="shared" si="71"/>
        <v>407039</v>
      </c>
      <c r="I119" s="1">
        <f t="shared" si="103"/>
        <v>335600</v>
      </c>
      <c r="J119" s="1">
        <v>13289</v>
      </c>
      <c r="K119" s="1">
        <v>0</v>
      </c>
      <c r="L119" s="1">
        <f>55000</f>
        <v>55000</v>
      </c>
      <c r="M119" s="1">
        <v>3150</v>
      </c>
      <c r="N119" s="1">
        <v>0</v>
      </c>
      <c r="O119" s="1">
        <v>0</v>
      </c>
      <c r="P119" s="1">
        <v>0</v>
      </c>
      <c r="Q119" s="1">
        <v>0</v>
      </c>
      <c r="R119" s="1">
        <f t="shared" si="118"/>
        <v>203631</v>
      </c>
      <c r="S119" s="1">
        <f>FLOOR((G119)*IF(B119&lt;=3,VLOOKUP(A119-1,割合!A:B,2,FALSE),VLOOKUP(A119,割合!A:B,2,FALSE)),1)</f>
        <v>2423</v>
      </c>
      <c r="T119" s="1">
        <f t="shared" si="112"/>
        <v>40260</v>
      </c>
      <c r="U119" s="1">
        <f t="shared" si="98"/>
        <v>7951</v>
      </c>
      <c r="V119" s="1">
        <f t="shared" si="99"/>
        <v>6877</v>
      </c>
      <c r="W119" s="1">
        <v>0</v>
      </c>
      <c r="X119" s="1">
        <v>12430</v>
      </c>
      <c r="Y119" s="1">
        <f t="shared" si="130"/>
        <v>38900</v>
      </c>
      <c r="Z119" s="1">
        <f t="shared" si="111"/>
        <v>3450</v>
      </c>
      <c r="AA119" s="1">
        <f t="shared" si="127"/>
        <v>0</v>
      </c>
      <c r="AB119" s="1">
        <f t="shared" si="84"/>
        <v>1910</v>
      </c>
      <c r="AC119" s="1">
        <v>260</v>
      </c>
      <c r="AD119" s="1">
        <f t="shared" si="82"/>
        <v>89170</v>
      </c>
      <c r="AE119" s="1">
        <v>0</v>
      </c>
    </row>
    <row r="120" spans="1:49">
      <c r="A120">
        <f t="shared" si="95"/>
        <v>2025</v>
      </c>
      <c r="B120">
        <f t="shared" si="96"/>
        <v>2</v>
      </c>
      <c r="C120" s="1">
        <f t="shared" si="117"/>
        <v>224699</v>
      </c>
      <c r="D120" s="1">
        <f>F120-R120</f>
        <v>224699</v>
      </c>
      <c r="F120" s="1">
        <f t="shared" si="69"/>
        <v>430362</v>
      </c>
      <c r="G120" s="1">
        <f t="shared" si="70"/>
        <v>427512</v>
      </c>
      <c r="H120" s="1">
        <f t="shared" si="71"/>
        <v>430362</v>
      </c>
      <c r="I120" s="1">
        <f t="shared" si="103"/>
        <v>335600</v>
      </c>
      <c r="J120" s="1">
        <v>36912</v>
      </c>
      <c r="K120" s="1">
        <v>0</v>
      </c>
      <c r="L120" s="1">
        <f>55000</f>
        <v>55000</v>
      </c>
      <c r="M120" s="1">
        <v>2850</v>
      </c>
      <c r="N120" s="1">
        <v>0</v>
      </c>
      <c r="O120" s="1">
        <v>0</v>
      </c>
      <c r="P120" s="1">
        <v>0</v>
      </c>
      <c r="Q120" s="1">
        <v>0</v>
      </c>
      <c r="R120" s="1">
        <f t="shared" si="118"/>
        <v>205663</v>
      </c>
      <c r="S120" s="1">
        <f>FLOOR((G120)*IF(B120&lt;=3,VLOOKUP(A120-1,割合!A:B,2,FALSE),VLOOKUP(A120,割合!A:B,2,FALSE)),1)</f>
        <v>2565</v>
      </c>
      <c r="T120" s="1">
        <f t="shared" si="112"/>
        <v>40260</v>
      </c>
      <c r="U120" s="1">
        <f t="shared" si="98"/>
        <v>7951</v>
      </c>
      <c r="V120" s="1">
        <f t="shared" si="99"/>
        <v>6877</v>
      </c>
      <c r="W120" s="1">
        <v>0</v>
      </c>
      <c r="X120" s="1">
        <v>14320</v>
      </c>
      <c r="Y120" s="1">
        <f t="shared" si="130"/>
        <v>38900</v>
      </c>
      <c r="Z120" s="1">
        <f t="shared" si="111"/>
        <v>3450</v>
      </c>
      <c r="AA120" s="1">
        <f t="shared" si="127"/>
        <v>0</v>
      </c>
      <c r="AB120" s="1">
        <f t="shared" si="84"/>
        <v>1910</v>
      </c>
      <c r="AC120" s="1">
        <v>260</v>
      </c>
      <c r="AD120" s="1">
        <f t="shared" si="82"/>
        <v>89170</v>
      </c>
      <c r="AE120" s="1">
        <v>0</v>
      </c>
    </row>
    <row r="121" spans="1:49">
      <c r="A121">
        <f t="shared" si="95"/>
        <v>2025</v>
      </c>
      <c r="B121">
        <f t="shared" si="96"/>
        <v>3</v>
      </c>
      <c r="C121" s="1">
        <f t="shared" si="117"/>
        <v>201909</v>
      </c>
      <c r="D121" s="1">
        <f>F121-R121</f>
        <v>201909</v>
      </c>
      <c r="F121" s="1">
        <f t="shared" si="69"/>
        <v>405110</v>
      </c>
      <c r="G121" s="1">
        <f t="shared" si="70"/>
        <v>402260</v>
      </c>
      <c r="H121" s="1">
        <f t="shared" si="71"/>
        <v>405110</v>
      </c>
      <c r="I121" s="1">
        <f t="shared" si="103"/>
        <v>335600</v>
      </c>
      <c r="J121" s="1">
        <v>11660</v>
      </c>
      <c r="K121" s="1">
        <v>0</v>
      </c>
      <c r="L121" s="1">
        <f>55000</f>
        <v>55000</v>
      </c>
      <c r="M121" s="1">
        <v>2850</v>
      </c>
      <c r="N121" s="1">
        <v>0</v>
      </c>
      <c r="O121" s="1">
        <v>0</v>
      </c>
      <c r="P121" s="1">
        <v>0</v>
      </c>
      <c r="Q121" s="1">
        <v>0</v>
      </c>
      <c r="R121" s="1">
        <f t="shared" si="118"/>
        <v>203201</v>
      </c>
      <c r="S121" s="1">
        <f>FLOOR((G121)*IF(B121&lt;=3,VLOOKUP(A121-1,割合!A:B,2,FALSE),VLOOKUP(A121,割合!A:B,2,FALSE)),1)</f>
        <v>2413</v>
      </c>
      <c r="T121" s="1">
        <f t="shared" si="112"/>
        <v>40260</v>
      </c>
      <c r="U121" s="1">
        <f t="shared" si="98"/>
        <v>7951</v>
      </c>
      <c r="V121" s="1">
        <f t="shared" si="99"/>
        <v>6877</v>
      </c>
      <c r="W121" s="1">
        <v>0</v>
      </c>
      <c r="X121" s="1">
        <v>12270</v>
      </c>
      <c r="Y121" s="1">
        <f t="shared" si="130"/>
        <v>38900</v>
      </c>
      <c r="Z121" s="1">
        <f t="shared" si="111"/>
        <v>3450</v>
      </c>
      <c r="AA121" s="1">
        <f t="shared" si="127"/>
        <v>0</v>
      </c>
      <c r="AB121" s="1">
        <f t="shared" si="84"/>
        <v>1910</v>
      </c>
      <c r="AC121" s="1">
        <v>0</v>
      </c>
      <c r="AD121" s="1">
        <f t="shared" si="82"/>
        <v>89170</v>
      </c>
      <c r="AE121" s="1">
        <v>0</v>
      </c>
    </row>
    <row r="122" spans="1:49">
      <c r="A122">
        <f t="shared" si="95"/>
        <v>2025</v>
      </c>
      <c r="B122">
        <f t="shared" si="96"/>
        <v>4</v>
      </c>
      <c r="C122" s="1">
        <f>D122+E122</f>
        <v>313330</v>
      </c>
      <c r="D122" s="1">
        <f>F122-R122</f>
        <v>313330</v>
      </c>
      <c r="F122" s="1">
        <f t="shared" si="69"/>
        <v>531662</v>
      </c>
      <c r="G122" s="1">
        <f t="shared" si="70"/>
        <v>531662</v>
      </c>
      <c r="H122" s="1">
        <f t="shared" si="71"/>
        <v>531662</v>
      </c>
      <c r="I122" s="1">
        <v>385500</v>
      </c>
      <c r="J122" s="1">
        <v>49787</v>
      </c>
      <c r="K122" s="1">
        <v>0</v>
      </c>
      <c r="L122" s="1">
        <v>96375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f t="shared" si="118"/>
        <v>218332</v>
      </c>
      <c r="S122" s="1">
        <f>FLOOR((G122)*IF(B122&lt;=3,VLOOKUP(A122-1,割合!A:B,2,FALSE),VLOOKUP(A122,割合!A:B,2,FALSE)),1)</f>
        <v>2924</v>
      </c>
      <c r="T122" s="1">
        <f t="shared" si="112"/>
        <v>40260</v>
      </c>
      <c r="U122" s="1">
        <v>7546</v>
      </c>
      <c r="V122" s="1">
        <v>7282</v>
      </c>
      <c r="W122" s="1">
        <v>0</v>
      </c>
      <c r="X122" s="1">
        <v>25350</v>
      </c>
      <c r="Y122" s="1">
        <f t="shared" si="130"/>
        <v>38900</v>
      </c>
      <c r="Z122" s="1">
        <v>3950</v>
      </c>
      <c r="AA122" s="1">
        <f t="shared" si="127"/>
        <v>0</v>
      </c>
      <c r="AB122" s="1">
        <f t="shared" si="84"/>
        <v>1910</v>
      </c>
      <c r="AC122" s="1">
        <v>1040</v>
      </c>
      <c r="AD122" s="1">
        <f t="shared" si="82"/>
        <v>89170</v>
      </c>
      <c r="AE122" s="1">
        <v>0</v>
      </c>
    </row>
    <row r="123" spans="1:49">
      <c r="A123">
        <f t="shared" si="95"/>
        <v>2025</v>
      </c>
      <c r="B123">
        <f t="shared" si="96"/>
        <v>5</v>
      </c>
      <c r="C123" s="1">
        <f t="shared" si="117"/>
        <v>289280</v>
      </c>
      <c r="D123" s="1">
        <f>F123-R123</f>
        <v>289280</v>
      </c>
      <c r="F123" s="1">
        <f t="shared" si="69"/>
        <v>501488</v>
      </c>
      <c r="G123" s="1">
        <f t="shared" si="70"/>
        <v>498188</v>
      </c>
      <c r="H123" s="1">
        <f t="shared" si="71"/>
        <v>501488</v>
      </c>
      <c r="I123" s="1">
        <f t="shared" si="103"/>
        <v>385500</v>
      </c>
      <c r="J123" s="1">
        <v>16313</v>
      </c>
      <c r="K123" s="1">
        <v>0</v>
      </c>
      <c r="L123" s="1">
        <f t="shared" ref="L123:L142" si="138">L122</f>
        <v>96375</v>
      </c>
      <c r="M123" s="1">
        <v>3300</v>
      </c>
      <c r="N123" s="1">
        <v>0</v>
      </c>
      <c r="O123" s="1">
        <v>0</v>
      </c>
      <c r="P123" s="1">
        <v>0</v>
      </c>
      <c r="Q123" s="1">
        <v>0</v>
      </c>
      <c r="R123" s="1">
        <f t="shared" si="118"/>
        <v>212208</v>
      </c>
      <c r="S123" s="1">
        <f>FLOOR((G123)*IF(B123&lt;=3,VLOOKUP(A123-1,割合!A:B,2,FALSE),VLOOKUP(A123,割合!A:B,2,FALSE)),1)</f>
        <v>2740</v>
      </c>
      <c r="T123" s="1">
        <f t="shared" si="112"/>
        <v>40260</v>
      </c>
      <c r="U123" s="1">
        <f t="shared" si="98"/>
        <v>7546</v>
      </c>
      <c r="V123" s="1">
        <f t="shared" si="99"/>
        <v>7282</v>
      </c>
      <c r="W123" s="1">
        <v>0</v>
      </c>
      <c r="X123" s="1">
        <v>20450</v>
      </c>
      <c r="Y123" s="1">
        <f t="shared" si="130"/>
        <v>38900</v>
      </c>
      <c r="Z123" s="1">
        <f t="shared" si="111"/>
        <v>3950</v>
      </c>
      <c r="AA123" s="1">
        <f t="shared" si="127"/>
        <v>0</v>
      </c>
      <c r="AB123" s="1">
        <f t="shared" si="84"/>
        <v>1910</v>
      </c>
      <c r="AC123" s="1">
        <v>0</v>
      </c>
      <c r="AD123" s="1">
        <f t="shared" si="82"/>
        <v>89170</v>
      </c>
      <c r="AE123" s="1">
        <v>0</v>
      </c>
    </row>
    <row r="124" spans="1:49">
      <c r="A124">
        <f t="shared" si="95"/>
        <v>2025</v>
      </c>
      <c r="B124">
        <f t="shared" si="96"/>
        <v>6</v>
      </c>
      <c r="C124" s="1">
        <f t="shared" si="117"/>
        <v>1594918</v>
      </c>
      <c r="D124" s="1">
        <f>F124-R124</f>
        <v>318292</v>
      </c>
      <c r="E124" s="1">
        <f>AF124-AJ124</f>
        <v>1276626</v>
      </c>
      <c r="F124" s="1">
        <f t="shared" si="69"/>
        <v>520785</v>
      </c>
      <c r="G124" s="1">
        <f t="shared" si="70"/>
        <v>515465</v>
      </c>
      <c r="H124" s="1">
        <f t="shared" si="71"/>
        <v>520785</v>
      </c>
      <c r="I124" s="1">
        <f t="shared" si="103"/>
        <v>385500</v>
      </c>
      <c r="J124" s="1">
        <v>33590</v>
      </c>
      <c r="K124" s="1">
        <v>0</v>
      </c>
      <c r="L124" s="1">
        <f t="shared" si="138"/>
        <v>96375</v>
      </c>
      <c r="M124" s="1">
        <v>5320</v>
      </c>
      <c r="N124" s="1">
        <v>0</v>
      </c>
      <c r="O124" s="1">
        <v>0</v>
      </c>
      <c r="P124" s="1">
        <v>0</v>
      </c>
      <c r="Q124" s="1">
        <v>0</v>
      </c>
      <c r="R124" s="1">
        <f t="shared" si="118"/>
        <v>202493</v>
      </c>
      <c r="S124" s="1">
        <f>FLOOR((G124)*IF(B124&lt;=3,VLOOKUP(A124-1,割合!A:B,2,FALSE),VLOOKUP(A124,割合!A:B,2,FALSE)),1)</f>
        <v>2835</v>
      </c>
      <c r="T124" s="1">
        <f t="shared" si="112"/>
        <v>40260</v>
      </c>
      <c r="U124" s="1">
        <f t="shared" si="98"/>
        <v>7546</v>
      </c>
      <c r="V124" s="1">
        <f t="shared" si="99"/>
        <v>7282</v>
      </c>
      <c r="W124" s="1">
        <v>0</v>
      </c>
      <c r="X124" s="1">
        <v>23580</v>
      </c>
      <c r="Y124" s="1">
        <v>25700</v>
      </c>
      <c r="Z124" s="1">
        <f t="shared" si="111"/>
        <v>3950</v>
      </c>
      <c r="AA124" s="1">
        <f t="shared" si="127"/>
        <v>0</v>
      </c>
      <c r="AB124" s="1">
        <f t="shared" si="84"/>
        <v>1910</v>
      </c>
      <c r="AC124" s="1">
        <v>260</v>
      </c>
      <c r="AD124" s="1">
        <f t="shared" si="82"/>
        <v>89170</v>
      </c>
      <c r="AE124" s="1">
        <v>0</v>
      </c>
      <c r="AF124" s="1">
        <f t="shared" ref="AF124" si="139">SUM(AG124:AI124)</f>
        <v>1731000</v>
      </c>
      <c r="AG124" s="1">
        <f>680000-680000</f>
        <v>0</v>
      </c>
      <c r="AH124" s="1">
        <f>2001000-300000</f>
        <v>1701000</v>
      </c>
      <c r="AI124" s="1">
        <f>30000</f>
        <v>30000</v>
      </c>
      <c r="AJ124" s="1">
        <f t="shared" ref="AJ124" si="140">SUM(AK124:AP124)</f>
        <v>454374</v>
      </c>
      <c r="AK124" s="1">
        <f>FLOOR(AF124*VLOOKUP(A124,割合!A:B,2,FALSE),1)</f>
        <v>9520</v>
      </c>
      <c r="AL124" s="1">
        <v>137250</v>
      </c>
      <c r="AM124" s="1">
        <v>29686</v>
      </c>
      <c r="AN124" s="1">
        <v>28648</v>
      </c>
      <c r="AO124" s="1">
        <v>0</v>
      </c>
      <c r="AP124" s="1">
        <v>249270</v>
      </c>
    </row>
    <row r="125" spans="1:49">
      <c r="A125">
        <f t="shared" si="95"/>
        <v>2025</v>
      </c>
      <c r="B125">
        <f t="shared" si="96"/>
        <v>7</v>
      </c>
      <c r="C125" s="1">
        <f t="shared" si="117"/>
        <v>359698</v>
      </c>
      <c r="D125" s="1">
        <f>F125-R125</f>
        <v>359698</v>
      </c>
      <c r="F125" s="1">
        <f t="shared" si="69"/>
        <v>571851</v>
      </c>
      <c r="G125" s="1">
        <f t="shared" si="70"/>
        <v>571851</v>
      </c>
      <c r="H125" s="1">
        <f t="shared" si="71"/>
        <v>571851</v>
      </c>
      <c r="I125" s="1">
        <v>400700</v>
      </c>
      <c r="J125" s="1">
        <v>12008</v>
      </c>
      <c r="K125" s="1">
        <v>0</v>
      </c>
      <c r="L125" s="1">
        <f>100175</f>
        <v>100175</v>
      </c>
      <c r="M125" s="1">
        <v>0</v>
      </c>
      <c r="N125" s="1">
        <v>0</v>
      </c>
      <c r="O125" s="1">
        <f>15200+15843+16525+3800+3800+3800</f>
        <v>58968</v>
      </c>
      <c r="P125" s="1">
        <v>0</v>
      </c>
      <c r="Q125" s="1">
        <v>0</v>
      </c>
      <c r="R125" s="1">
        <f t="shared" si="118"/>
        <v>212153</v>
      </c>
      <c r="S125" s="1">
        <f>FLOOR((G125)*IF(B125&lt;=3,VLOOKUP(A125-1,割合!A:B,2,FALSE),VLOOKUP(A125,割合!A:B,2,FALSE)),1)</f>
        <v>3145</v>
      </c>
      <c r="T125" s="1">
        <f t="shared" si="112"/>
        <v>40260</v>
      </c>
      <c r="U125" s="1">
        <f t="shared" si="98"/>
        <v>7546</v>
      </c>
      <c r="V125" s="1">
        <f t="shared" si="99"/>
        <v>7282</v>
      </c>
      <c r="W125" s="1">
        <v>0</v>
      </c>
      <c r="X125" s="1">
        <v>31880</v>
      </c>
      <c r="Y125" s="1">
        <v>25500</v>
      </c>
      <c r="Z125" s="1">
        <v>4550</v>
      </c>
      <c r="AA125" s="1">
        <f t="shared" si="127"/>
        <v>0</v>
      </c>
      <c r="AB125" s="1">
        <f t="shared" si="84"/>
        <v>1910</v>
      </c>
      <c r="AC125" s="1">
        <v>910</v>
      </c>
      <c r="AD125" s="1">
        <f t="shared" si="82"/>
        <v>89170</v>
      </c>
      <c r="AE125" s="1">
        <v>0</v>
      </c>
    </row>
    <row r="126" spans="1:49">
      <c r="A126">
        <f t="shared" si="95"/>
        <v>2025</v>
      </c>
      <c r="B126">
        <f t="shared" si="96"/>
        <v>8</v>
      </c>
      <c r="C126" s="1">
        <f t="shared" ref="C126:C141" si="141">D126+E126</f>
        <v>301275</v>
      </c>
      <c r="D126" s="1">
        <f>F126-R126</f>
        <v>301275</v>
      </c>
      <c r="F126" s="1">
        <f t="shared" si="69"/>
        <v>512091</v>
      </c>
      <c r="G126" s="1">
        <f t="shared" si="70"/>
        <v>509151</v>
      </c>
      <c r="H126" s="1">
        <f t="shared" si="71"/>
        <v>512091</v>
      </c>
      <c r="I126" s="1">
        <f t="shared" si="103"/>
        <v>400700</v>
      </c>
      <c r="J126" s="1">
        <v>8276</v>
      </c>
      <c r="K126" s="1">
        <v>0</v>
      </c>
      <c r="L126" s="1">
        <f t="shared" si="138"/>
        <v>100175</v>
      </c>
      <c r="M126" s="1">
        <v>2940</v>
      </c>
      <c r="N126" s="1">
        <v>0</v>
      </c>
      <c r="O126" s="1">
        <v>0</v>
      </c>
      <c r="P126" s="1">
        <v>0</v>
      </c>
      <c r="Q126" s="1">
        <v>0</v>
      </c>
      <c r="R126" s="1">
        <f t="shared" ref="R126:R141" si="142">SUM(S126:AE126)</f>
        <v>210816</v>
      </c>
      <c r="S126" s="1">
        <f>FLOOR((G126)*IF(B126&lt;=3,VLOOKUP(A126-1,割合!A:B,2,FALSE),VLOOKUP(A126,割合!A:B,2,FALSE)),1)</f>
        <v>2800</v>
      </c>
      <c r="T126" s="1">
        <v>48495</v>
      </c>
      <c r="U126" s="1">
        <v>9090</v>
      </c>
      <c r="V126" s="1">
        <v>8771</v>
      </c>
      <c r="W126" s="1">
        <v>0</v>
      </c>
      <c r="X126" s="1">
        <v>20330</v>
      </c>
      <c r="Y126" s="1">
        <f t="shared" ref="Y126:Y135" si="143">Y125</f>
        <v>25500</v>
      </c>
      <c r="Z126" s="1">
        <v>4100</v>
      </c>
      <c r="AA126" s="1">
        <f t="shared" si="127"/>
        <v>0</v>
      </c>
      <c r="AB126" s="1">
        <f t="shared" si="84"/>
        <v>1910</v>
      </c>
      <c r="AC126" s="1">
        <v>650</v>
      </c>
      <c r="AD126" s="1">
        <f t="shared" si="82"/>
        <v>89170</v>
      </c>
      <c r="AE126" s="1">
        <v>0</v>
      </c>
    </row>
    <row r="127" spans="1:49">
      <c r="A127">
        <f t="shared" si="95"/>
        <v>2025</v>
      </c>
      <c r="B127">
        <f t="shared" si="96"/>
        <v>9</v>
      </c>
      <c r="C127" s="1">
        <f t="shared" si="141"/>
        <v>297118</v>
      </c>
      <c r="D127" s="1">
        <f>F127-R127</f>
        <v>297118</v>
      </c>
      <c r="F127" s="1">
        <f t="shared" si="69"/>
        <v>506955</v>
      </c>
      <c r="G127" s="1">
        <f t="shared" si="70"/>
        <v>503875</v>
      </c>
      <c r="H127" s="1">
        <f t="shared" si="71"/>
        <v>506955</v>
      </c>
      <c r="I127" s="1">
        <f t="shared" si="103"/>
        <v>400700</v>
      </c>
      <c r="J127" s="1">
        <v>0</v>
      </c>
      <c r="K127" s="1">
        <v>0</v>
      </c>
      <c r="L127" s="1">
        <f t="shared" si="138"/>
        <v>100175</v>
      </c>
      <c r="M127" s="1">
        <v>3080</v>
      </c>
      <c r="N127" s="1">
        <v>0</v>
      </c>
      <c r="O127" s="1">
        <v>3000</v>
      </c>
      <c r="P127" s="1">
        <v>0</v>
      </c>
      <c r="Q127" s="1">
        <v>0</v>
      </c>
      <c r="R127" s="1">
        <f t="shared" si="142"/>
        <v>209837</v>
      </c>
      <c r="S127" s="1">
        <f>FLOOR((G127)*IF(B127&lt;=3,VLOOKUP(A127-1,割合!A:B,2,FALSE),VLOOKUP(A127,割合!A:B,2,FALSE)),1)</f>
        <v>2771</v>
      </c>
      <c r="T127" s="1">
        <f t="shared" si="112"/>
        <v>48495</v>
      </c>
      <c r="U127" s="1">
        <f t="shared" si="98"/>
        <v>9090</v>
      </c>
      <c r="V127" s="1">
        <f t="shared" si="99"/>
        <v>8771</v>
      </c>
      <c r="W127" s="1">
        <v>0</v>
      </c>
      <c r="X127" s="1">
        <v>19640</v>
      </c>
      <c r="Y127" s="1">
        <f t="shared" si="143"/>
        <v>25500</v>
      </c>
      <c r="Z127" s="1">
        <f t="shared" si="111"/>
        <v>4100</v>
      </c>
      <c r="AA127" s="1">
        <f t="shared" si="127"/>
        <v>0</v>
      </c>
      <c r="AB127" s="1">
        <f t="shared" si="84"/>
        <v>1910</v>
      </c>
      <c r="AC127" s="1">
        <v>390</v>
      </c>
      <c r="AD127" s="1">
        <f t="shared" si="82"/>
        <v>89170</v>
      </c>
      <c r="AE127" s="1">
        <v>0</v>
      </c>
    </row>
    <row r="128" spans="1:49">
      <c r="A128">
        <f t="shared" si="95"/>
        <v>2025</v>
      </c>
      <c r="B128">
        <f t="shared" si="96"/>
        <v>10</v>
      </c>
      <c r="C128" s="1">
        <f t="shared" si="141"/>
        <v>367535</v>
      </c>
      <c r="D128" s="1">
        <f>F128-R128</f>
        <v>367535</v>
      </c>
      <c r="F128" s="1">
        <f t="shared" si="69"/>
        <v>591730</v>
      </c>
      <c r="G128" s="1">
        <f t="shared" si="70"/>
        <v>589070</v>
      </c>
      <c r="H128" s="1">
        <f t="shared" si="71"/>
        <v>591730</v>
      </c>
      <c r="I128" s="1">
        <f t="shared" si="103"/>
        <v>400700</v>
      </c>
      <c r="J128" s="1">
        <v>75195</v>
      </c>
      <c r="K128" s="1">
        <v>0</v>
      </c>
      <c r="L128" s="1">
        <f t="shared" si="138"/>
        <v>100175</v>
      </c>
      <c r="M128" s="1">
        <v>2660</v>
      </c>
      <c r="N128" s="1">
        <v>0</v>
      </c>
      <c r="O128" s="1">
        <v>13000</v>
      </c>
      <c r="P128" s="1">
        <v>0</v>
      </c>
      <c r="Q128" s="1">
        <v>0</v>
      </c>
      <c r="R128" s="1">
        <f t="shared" si="142"/>
        <v>224195</v>
      </c>
      <c r="S128" s="1">
        <f>FLOOR((G128)*IF(B128&lt;=3,VLOOKUP(A128-1,割合!A:B,2,FALSE),VLOOKUP(A128,割合!A:B,2,FALSE)),1)</f>
        <v>3239</v>
      </c>
      <c r="T128" s="1">
        <f t="shared" si="112"/>
        <v>48495</v>
      </c>
      <c r="U128" s="1">
        <f t="shared" si="98"/>
        <v>9090</v>
      </c>
      <c r="V128" s="1">
        <f t="shared" si="99"/>
        <v>8771</v>
      </c>
      <c r="W128" s="1">
        <v>0</v>
      </c>
      <c r="X128" s="1">
        <v>33270</v>
      </c>
      <c r="Y128" s="1">
        <f t="shared" si="143"/>
        <v>25500</v>
      </c>
      <c r="Z128" s="1">
        <f t="shared" si="111"/>
        <v>4100</v>
      </c>
      <c r="AA128" s="1">
        <f t="shared" si="127"/>
        <v>0</v>
      </c>
      <c r="AB128" s="1">
        <f t="shared" si="84"/>
        <v>1910</v>
      </c>
      <c r="AC128" s="1">
        <v>650</v>
      </c>
      <c r="AD128" s="1">
        <f t="shared" si="82"/>
        <v>89170</v>
      </c>
      <c r="AE128" s="1">
        <v>0</v>
      </c>
    </row>
    <row r="129" spans="1:49">
      <c r="A129">
        <f t="shared" si="95"/>
        <v>2025</v>
      </c>
      <c r="B129">
        <f t="shared" si="96"/>
        <v>11</v>
      </c>
      <c r="C129" s="1">
        <f t="shared" si="141"/>
        <v>380741</v>
      </c>
      <c r="D129" s="1">
        <f>F129-R129</f>
        <v>380741</v>
      </c>
      <c r="F129" s="1">
        <f t="shared" si="69"/>
        <v>607379</v>
      </c>
      <c r="G129" s="1">
        <f>SUM(I129:O129)-N129-M129</f>
        <v>509513</v>
      </c>
      <c r="H129" s="1">
        <f t="shared" si="71"/>
        <v>607379</v>
      </c>
      <c r="I129" s="1">
        <f t="shared" si="103"/>
        <v>400700</v>
      </c>
      <c r="J129" s="1">
        <v>4138</v>
      </c>
      <c r="K129" s="1">
        <v>0</v>
      </c>
      <c r="L129" s="1">
        <f t="shared" si="138"/>
        <v>100175</v>
      </c>
      <c r="M129" s="1">
        <v>5600</v>
      </c>
      <c r="N129" s="1">
        <f>92266</f>
        <v>92266</v>
      </c>
      <c r="O129" s="1">
        <v>4500</v>
      </c>
      <c r="P129" s="1">
        <v>0</v>
      </c>
      <c r="Q129" s="1">
        <v>0</v>
      </c>
      <c r="R129" s="1">
        <f t="shared" si="142"/>
        <v>226638</v>
      </c>
      <c r="S129" s="1">
        <f>FLOOR((G129)*IF(B129&lt;=3,VLOOKUP(A129-1,割合!A:B,2,FALSE),VLOOKUP(A129,割合!A:B,2,FALSE)),1)</f>
        <v>2802</v>
      </c>
      <c r="T129" s="1">
        <f t="shared" si="112"/>
        <v>48495</v>
      </c>
      <c r="U129" s="1">
        <f t="shared" si="98"/>
        <v>9090</v>
      </c>
      <c r="V129" s="1">
        <f t="shared" si="99"/>
        <v>8771</v>
      </c>
      <c r="W129" s="1">
        <v>0</v>
      </c>
      <c r="X129" s="1">
        <v>35890</v>
      </c>
      <c r="Y129" s="1">
        <f t="shared" si="143"/>
        <v>25500</v>
      </c>
      <c r="Z129" s="1">
        <f t="shared" si="111"/>
        <v>4100</v>
      </c>
      <c r="AA129" s="1">
        <f t="shared" si="127"/>
        <v>0</v>
      </c>
      <c r="AB129" s="1">
        <f t="shared" si="84"/>
        <v>1910</v>
      </c>
      <c r="AC129" s="1">
        <v>910</v>
      </c>
      <c r="AD129" s="1">
        <f t="shared" si="82"/>
        <v>89170</v>
      </c>
      <c r="AE129" s="1">
        <v>0</v>
      </c>
      <c r="AW129" s="3"/>
    </row>
    <row r="130" spans="1:49">
      <c r="A130">
        <f t="shared" si="95"/>
        <v>2025</v>
      </c>
      <c r="B130">
        <f t="shared" si="96"/>
        <v>12</v>
      </c>
      <c r="C130" s="1">
        <f t="shared" si="141"/>
        <v>818285</v>
      </c>
      <c r="D130" s="1">
        <f>F130-R130</f>
        <v>386093</v>
      </c>
      <c r="E130" s="1">
        <f>AF130-AJ130</f>
        <v>432192</v>
      </c>
      <c r="F130" s="1">
        <f t="shared" ref="F130:F132" si="144">SUM(I130:P130)</f>
        <v>512189</v>
      </c>
      <c r="G130" s="1">
        <f t="shared" ref="G130:G142" si="145">SUM(I130:O130)-N130-M130</f>
        <v>507809</v>
      </c>
      <c r="H130" s="1">
        <f t="shared" ref="H130:H135" si="146">SUM(I130:O130)-SUM(K130:K130)+Q130</f>
        <v>512189</v>
      </c>
      <c r="I130" s="1">
        <f t="shared" si="103"/>
        <v>400700</v>
      </c>
      <c r="J130" s="1">
        <v>2434</v>
      </c>
      <c r="K130" s="1">
        <v>0</v>
      </c>
      <c r="L130" s="1">
        <f t="shared" si="138"/>
        <v>100175</v>
      </c>
      <c r="M130" s="1">
        <v>2380</v>
      </c>
      <c r="N130" s="1">
        <v>2000</v>
      </c>
      <c r="O130" s="1">
        <v>4500</v>
      </c>
      <c r="P130" s="1">
        <v>0</v>
      </c>
      <c r="Q130" s="1">
        <v>0</v>
      </c>
      <c r="R130" s="1">
        <f t="shared" si="142"/>
        <v>126096</v>
      </c>
      <c r="S130" s="1">
        <f>FLOOR((G130)*IF(B130&lt;=3,VLOOKUP(A130-1,割合!A:B,2,FALSE),VLOOKUP(A130,割合!A:B,2,FALSE)),1)</f>
        <v>2792</v>
      </c>
      <c r="T130" s="1">
        <f t="shared" si="112"/>
        <v>48495</v>
      </c>
      <c r="U130" s="1">
        <f t="shared" si="98"/>
        <v>9090</v>
      </c>
      <c r="V130" s="1">
        <f t="shared" si="99"/>
        <v>8771</v>
      </c>
      <c r="W130" s="1">
        <v>0</v>
      </c>
      <c r="X130" s="1">
        <v>-63992</v>
      </c>
      <c r="Y130" s="1">
        <f t="shared" si="143"/>
        <v>25500</v>
      </c>
      <c r="Z130" s="1">
        <f t="shared" si="111"/>
        <v>4100</v>
      </c>
      <c r="AA130" s="1">
        <f t="shared" si="127"/>
        <v>0</v>
      </c>
      <c r="AB130" s="1">
        <f t="shared" si="84"/>
        <v>1910</v>
      </c>
      <c r="AC130" s="1">
        <v>260</v>
      </c>
      <c r="AD130" s="1">
        <f t="shared" si="82"/>
        <v>89170</v>
      </c>
      <c r="AE130" s="1">
        <v>0</v>
      </c>
      <c r="AF130" s="1">
        <f t="shared" ref="AF130" si="147">SUM(AG130:AI130)</f>
        <v>609100</v>
      </c>
      <c r="AG130" s="1">
        <v>609100</v>
      </c>
      <c r="AH130" s="1">
        <v>0</v>
      </c>
      <c r="AI130" s="1">
        <v>0</v>
      </c>
      <c r="AJ130" s="1">
        <f t="shared" ref="AJ130" si="148">SUM(AK130:AP130)</f>
        <v>176908</v>
      </c>
      <c r="AK130" s="1">
        <f>FLOOR(AF130*VLOOKUP(A130,割合!A:B,2,FALSE),1)</f>
        <v>3350</v>
      </c>
      <c r="AL130" s="1">
        <v>55723</v>
      </c>
      <c r="AM130" s="1">
        <v>10445</v>
      </c>
      <c r="AN130" s="1">
        <v>10078</v>
      </c>
      <c r="AO130" s="1">
        <v>0</v>
      </c>
      <c r="AP130" s="1">
        <v>97312</v>
      </c>
      <c r="AQ130" s="1">
        <f>SUM(H119:H130)+SUM(AF119:AF130)</f>
        <v>8438741</v>
      </c>
      <c r="AR130" s="1">
        <f t="shared" ref="AR130" si="149">AQ130-AQ118</f>
        <v>899911</v>
      </c>
      <c r="AS130" s="1">
        <f t="shared" ref="AS130" si="150">AR130/12</f>
        <v>74992.583333333328</v>
      </c>
      <c r="AT130" s="1">
        <f>SUM(C119:C130)+SUM(AC119:AE130)</f>
        <v>6427826</v>
      </c>
      <c r="AU130" s="1">
        <f t="shared" ref="AU130" si="151">AT130-AT118</f>
        <v>709918</v>
      </c>
      <c r="AV130" s="1">
        <f t="shared" ref="AV130" si="152">AU130/12</f>
        <v>59159.833333333336</v>
      </c>
      <c r="AW130" s="6">
        <f>AT130/AQ130</f>
        <v>0.76170438220582903</v>
      </c>
    </row>
    <row r="131" spans="1:49">
      <c r="A131">
        <f t="shared" si="95"/>
        <v>2026</v>
      </c>
      <c r="B131">
        <f t="shared" si="96"/>
        <v>1</v>
      </c>
      <c r="C131" s="1">
        <f t="shared" si="141"/>
        <v>322375</v>
      </c>
      <c r="D131" s="1">
        <f>F131-R131</f>
        <v>322375</v>
      </c>
      <c r="F131" s="1">
        <f t="shared" si="144"/>
        <v>535685</v>
      </c>
      <c r="G131" s="1">
        <f t="shared" si="145"/>
        <v>500875</v>
      </c>
      <c r="H131" s="1">
        <f t="shared" si="146"/>
        <v>535685</v>
      </c>
      <c r="I131" s="1">
        <f t="shared" si="103"/>
        <v>400700</v>
      </c>
      <c r="J131" s="1">
        <v>0</v>
      </c>
      <c r="K131" s="1">
        <v>0</v>
      </c>
      <c r="L131" s="1">
        <f t="shared" si="138"/>
        <v>100175</v>
      </c>
      <c r="M131" s="1">
        <v>2800</v>
      </c>
      <c r="N131" s="1">
        <v>32010</v>
      </c>
      <c r="O131" s="1">
        <v>0</v>
      </c>
      <c r="P131" s="1">
        <v>0</v>
      </c>
      <c r="Q131" s="1">
        <v>0</v>
      </c>
      <c r="R131" s="1">
        <f t="shared" si="142"/>
        <v>213310</v>
      </c>
      <c r="S131" s="1">
        <f>FLOOR((G131)*IF(B131&lt;=3,VLOOKUP(A131-1,割合!A:B,2,FALSE),VLOOKUP(A131,割合!A:B,2,FALSE)),1)</f>
        <v>2754</v>
      </c>
      <c r="T131" s="1">
        <f t="shared" si="112"/>
        <v>48495</v>
      </c>
      <c r="U131" s="1">
        <f t="shared" si="98"/>
        <v>9090</v>
      </c>
      <c r="V131" s="1">
        <f t="shared" si="99"/>
        <v>8771</v>
      </c>
      <c r="W131" s="1">
        <v>0</v>
      </c>
      <c r="X131" s="1">
        <v>22490</v>
      </c>
      <c r="Y131" s="1">
        <f t="shared" si="143"/>
        <v>25500</v>
      </c>
      <c r="Z131" s="1">
        <f t="shared" si="111"/>
        <v>4100</v>
      </c>
      <c r="AA131" s="1">
        <f t="shared" si="127"/>
        <v>0</v>
      </c>
      <c r="AB131" s="1">
        <v>2030</v>
      </c>
      <c r="AC131" s="1">
        <v>910</v>
      </c>
      <c r="AD131" s="1">
        <f t="shared" si="82"/>
        <v>89170</v>
      </c>
      <c r="AE131" s="1">
        <v>0</v>
      </c>
    </row>
    <row r="132" spans="1:49">
      <c r="A132">
        <f t="shared" si="95"/>
        <v>2026</v>
      </c>
      <c r="B132">
        <f t="shared" si="96"/>
        <v>2</v>
      </c>
      <c r="C132" s="1">
        <f t="shared" si="141"/>
        <v>335074</v>
      </c>
      <c r="D132" s="1">
        <f>F132-R132</f>
        <v>335074</v>
      </c>
      <c r="F132" s="1">
        <f t="shared" si="144"/>
        <v>550029</v>
      </c>
      <c r="G132" s="1">
        <f t="shared" si="145"/>
        <v>547229</v>
      </c>
      <c r="H132" s="1">
        <f t="shared" si="146"/>
        <v>550029</v>
      </c>
      <c r="I132" s="1">
        <f t="shared" si="103"/>
        <v>400700</v>
      </c>
      <c r="J132" s="1">
        <v>46354</v>
      </c>
      <c r="K132" s="1">
        <v>0</v>
      </c>
      <c r="L132" s="1">
        <f t="shared" si="138"/>
        <v>100175</v>
      </c>
      <c r="M132" s="1">
        <v>2800</v>
      </c>
      <c r="N132" s="1">
        <v>0</v>
      </c>
      <c r="O132" s="1">
        <v>0</v>
      </c>
      <c r="P132" s="1">
        <v>0</v>
      </c>
      <c r="Q132" s="1">
        <v>0</v>
      </c>
      <c r="R132" s="1">
        <f t="shared" si="142"/>
        <v>214955</v>
      </c>
      <c r="S132" s="1">
        <f>FLOOR((G132)*IF(B132&lt;=3,VLOOKUP(A132-1,割合!A:B,2,FALSE),VLOOKUP(A132,割合!A:B,2,FALSE)),1)</f>
        <v>3009</v>
      </c>
      <c r="T132" s="1">
        <f t="shared" si="112"/>
        <v>48495</v>
      </c>
      <c r="U132" s="1">
        <f t="shared" si="98"/>
        <v>9090</v>
      </c>
      <c r="V132" s="1">
        <f t="shared" si="99"/>
        <v>8771</v>
      </c>
      <c r="W132" s="1">
        <v>0</v>
      </c>
      <c r="X132" s="1">
        <v>24790</v>
      </c>
      <c r="Y132" s="1">
        <f t="shared" si="143"/>
        <v>25500</v>
      </c>
      <c r="Z132" s="1">
        <f t="shared" si="111"/>
        <v>4100</v>
      </c>
      <c r="AA132" s="1">
        <f t="shared" si="127"/>
        <v>0</v>
      </c>
      <c r="AB132" s="1">
        <f t="shared" si="84"/>
        <v>2030</v>
      </c>
      <c r="AC132" s="1">
        <v>0</v>
      </c>
      <c r="AD132" s="1">
        <f t="shared" si="82"/>
        <v>89170</v>
      </c>
      <c r="AE132" s="1">
        <v>0</v>
      </c>
    </row>
    <row r="133" spans="1:49">
      <c r="A133">
        <f t="shared" si="95"/>
        <v>2026</v>
      </c>
      <c r="B133">
        <f t="shared" si="96"/>
        <v>3</v>
      </c>
      <c r="C133" s="1">
        <f t="shared" si="141"/>
        <v>358614</v>
      </c>
      <c r="D133" s="1">
        <f>F133-R133</f>
        <v>358614</v>
      </c>
      <c r="F133" s="1">
        <f>SUM(I133:P133)</f>
        <v>572944</v>
      </c>
      <c r="G133" s="1">
        <f>SUM(I133:O133)-N133-M133</f>
        <v>520756</v>
      </c>
      <c r="H133" s="1">
        <f t="shared" si="146"/>
        <v>542944</v>
      </c>
      <c r="I133" s="1">
        <f t="shared" si="103"/>
        <v>400700</v>
      </c>
      <c r="J133" s="1">
        <v>19881</v>
      </c>
      <c r="K133" s="1">
        <v>0</v>
      </c>
      <c r="L133" s="1">
        <f t="shared" si="138"/>
        <v>100175</v>
      </c>
      <c r="M133" s="1">
        <v>2520</v>
      </c>
      <c r="N133" s="1">
        <v>19668</v>
      </c>
      <c r="O133" s="1">
        <v>0</v>
      </c>
      <c r="P133" s="1">
        <v>30000</v>
      </c>
      <c r="Q133" s="1">
        <v>0</v>
      </c>
      <c r="R133" s="1">
        <f t="shared" si="142"/>
        <v>214330</v>
      </c>
      <c r="S133" s="1">
        <f>FLOOR((G133)*IF(B133&lt;=3,VLOOKUP(A133-1,割合!A:B,2,FALSE),VLOOKUP(A133,割合!A:B,2,FALSE)),1)</f>
        <v>2864</v>
      </c>
      <c r="T133" s="1">
        <f t="shared" si="112"/>
        <v>48495</v>
      </c>
      <c r="U133" s="1">
        <f t="shared" si="98"/>
        <v>9090</v>
      </c>
      <c r="V133" s="1">
        <f t="shared" si="99"/>
        <v>8771</v>
      </c>
      <c r="W133" s="1">
        <v>0</v>
      </c>
      <c r="X133" s="1">
        <v>23660</v>
      </c>
      <c r="Y133" s="1">
        <f t="shared" si="143"/>
        <v>25500</v>
      </c>
      <c r="Z133" s="1">
        <f t="shared" si="111"/>
        <v>4100</v>
      </c>
      <c r="AA133" s="1">
        <f t="shared" si="127"/>
        <v>0</v>
      </c>
      <c r="AB133" s="1">
        <f t="shared" si="84"/>
        <v>2030</v>
      </c>
      <c r="AC133" s="1">
        <v>650</v>
      </c>
      <c r="AD133" s="1">
        <f t="shared" si="82"/>
        <v>89170</v>
      </c>
      <c r="AE133" s="1">
        <v>0</v>
      </c>
    </row>
    <row r="134" spans="1:49">
      <c r="A134">
        <f t="shared" si="95"/>
        <v>2026</v>
      </c>
      <c r="B134">
        <f t="shared" si="96"/>
        <v>4</v>
      </c>
      <c r="C134" s="1">
        <f t="shared" si="141"/>
        <v>340315</v>
      </c>
      <c r="D134" s="1">
        <f>F134-R134</f>
        <v>340315</v>
      </c>
      <c r="F134" s="1">
        <f t="shared" ref="F134:F142" si="153">SUM(I134:P134)</f>
        <v>561427</v>
      </c>
      <c r="G134" s="1">
        <f t="shared" si="145"/>
        <v>533371</v>
      </c>
      <c r="H134" s="1">
        <f t="shared" si="146"/>
        <v>583927</v>
      </c>
      <c r="I134" s="1">
        <f t="shared" si="103"/>
        <v>400700</v>
      </c>
      <c r="J134" s="1">
        <v>32496</v>
      </c>
      <c r="K134" s="1">
        <v>0</v>
      </c>
      <c r="L134" s="1">
        <f t="shared" si="138"/>
        <v>100175</v>
      </c>
      <c r="M134" s="1">
        <v>0</v>
      </c>
      <c r="N134" s="1">
        <v>28056</v>
      </c>
      <c r="O134" s="1">
        <v>0</v>
      </c>
      <c r="P134" s="1">
        <v>0</v>
      </c>
      <c r="Q134" s="1">
        <v>22500</v>
      </c>
      <c r="R134" s="1">
        <f t="shared" si="142"/>
        <v>221112</v>
      </c>
      <c r="S134" s="1">
        <f>FLOOR((G134)*IF(B134&lt;=3,VLOOKUP(A134-1,割合!A:B,2,FALSE),VLOOKUP(A134,割合!A:B,2,FALSE)),1)</f>
        <v>2666</v>
      </c>
      <c r="T134" s="1">
        <f t="shared" si="112"/>
        <v>48495</v>
      </c>
      <c r="U134" s="1">
        <v>8385</v>
      </c>
      <c r="V134" s="1">
        <v>9476</v>
      </c>
      <c r="W134" s="1">
        <v>0</v>
      </c>
      <c r="X134" s="1">
        <v>30380</v>
      </c>
      <c r="Y134" s="1">
        <f t="shared" si="143"/>
        <v>25500</v>
      </c>
      <c r="Z134" s="1">
        <f t="shared" si="111"/>
        <v>4100</v>
      </c>
      <c r="AA134" s="1">
        <f>AA133</f>
        <v>0</v>
      </c>
      <c r="AB134" s="1">
        <f t="shared" si="84"/>
        <v>2030</v>
      </c>
      <c r="AC134" s="1">
        <v>910</v>
      </c>
      <c r="AD134" s="1">
        <f t="shared" si="82"/>
        <v>89170</v>
      </c>
      <c r="AE134" s="1">
        <v>0</v>
      </c>
    </row>
    <row r="135" spans="1:49">
      <c r="A135">
        <f t="shared" si="95"/>
        <v>2026</v>
      </c>
      <c r="B135">
        <f t="shared" si="96"/>
        <v>5</v>
      </c>
      <c r="C135" s="1">
        <f t="shared" si="141"/>
        <v>297638</v>
      </c>
      <c r="D135" s="1">
        <f>F135-R135</f>
        <v>297638</v>
      </c>
      <c r="F135" s="1">
        <f t="shared" si="153"/>
        <v>508489</v>
      </c>
      <c r="G135" s="1">
        <f t="shared" si="145"/>
        <v>503309</v>
      </c>
      <c r="H135" s="1">
        <f t="shared" si="146"/>
        <v>508489</v>
      </c>
      <c r="I135" s="1">
        <f t="shared" si="103"/>
        <v>400700</v>
      </c>
      <c r="J135" s="1">
        <v>2434</v>
      </c>
      <c r="K135" s="1">
        <v>0</v>
      </c>
      <c r="L135" s="1">
        <f t="shared" si="138"/>
        <v>100175</v>
      </c>
      <c r="M135" s="1">
        <v>5180</v>
      </c>
      <c r="N135" s="1">
        <v>0</v>
      </c>
      <c r="O135" s="1">
        <v>0</v>
      </c>
      <c r="P135" s="1">
        <v>0</v>
      </c>
      <c r="Q135" s="1">
        <v>0</v>
      </c>
      <c r="R135" s="1">
        <f t="shared" si="142"/>
        <v>210851</v>
      </c>
      <c r="S135" s="1">
        <f>FLOOR((G135)*IF(B135&lt;=3,VLOOKUP(A135-1,割合!A:B,2,FALSE),VLOOKUP(A135,割合!A:B,2,FALSE)),1)</f>
        <v>2516</v>
      </c>
      <c r="T135" s="1">
        <f t="shared" si="112"/>
        <v>48495</v>
      </c>
      <c r="U135" s="1">
        <f t="shared" si="98"/>
        <v>8385</v>
      </c>
      <c r="V135" s="1">
        <f t="shared" si="99"/>
        <v>9476</v>
      </c>
      <c r="W135" s="1">
        <v>609</v>
      </c>
      <c r="X135" s="1">
        <v>18880</v>
      </c>
      <c r="Y135" s="1">
        <f t="shared" si="143"/>
        <v>25500</v>
      </c>
      <c r="Z135" s="1">
        <f t="shared" si="111"/>
        <v>4100</v>
      </c>
      <c r="AA135" s="1">
        <f t="shared" si="127"/>
        <v>0</v>
      </c>
      <c r="AB135" s="1">
        <f t="shared" si="84"/>
        <v>2030</v>
      </c>
      <c r="AC135" s="1">
        <v>1690</v>
      </c>
      <c r="AD135" s="1">
        <f t="shared" si="82"/>
        <v>89170</v>
      </c>
      <c r="AE135" s="1">
        <v>0</v>
      </c>
    </row>
    <row r="136" spans="1:49">
      <c r="A136">
        <f t="shared" si="95"/>
        <v>2026</v>
      </c>
      <c r="B136">
        <f t="shared" si="96"/>
        <v>6</v>
      </c>
      <c r="C136" s="1">
        <f t="shared" si="141"/>
        <v>1200424</v>
      </c>
      <c r="D136" s="1">
        <f>F136-R136</f>
        <v>296992</v>
      </c>
      <c r="E136" s="1">
        <f>AF136-AJ136</f>
        <v>903432</v>
      </c>
      <c r="F136" s="1">
        <f t="shared" si="153"/>
        <v>512608</v>
      </c>
      <c r="G136" s="1">
        <f t="shared" si="145"/>
        <v>510368</v>
      </c>
      <c r="H136" s="1">
        <f>SUM(I136:O136)-SUM(K136:K136)+Q136</f>
        <v>515608</v>
      </c>
      <c r="I136" s="1">
        <f t="shared" si="103"/>
        <v>400700</v>
      </c>
      <c r="J136" s="1">
        <v>9493</v>
      </c>
      <c r="K136" s="1">
        <v>0</v>
      </c>
      <c r="L136" s="1">
        <f t="shared" si="138"/>
        <v>100175</v>
      </c>
      <c r="M136" s="1">
        <f>16*140</f>
        <v>2240</v>
      </c>
      <c r="N136" s="1">
        <v>0</v>
      </c>
      <c r="O136" s="1">
        <v>0</v>
      </c>
      <c r="P136" s="1">
        <v>0</v>
      </c>
      <c r="Q136" s="1">
        <v>3000</v>
      </c>
      <c r="R136" s="1">
        <f t="shared" si="142"/>
        <v>215616</v>
      </c>
      <c r="S136" s="1">
        <f>FLOOR((G136)*IF(B136&lt;=3,VLOOKUP(A136-1,割合!A:B,2,FALSE),VLOOKUP(A136,割合!A:B,2,FALSE)),1)</f>
        <v>2551</v>
      </c>
      <c r="T136" s="1">
        <f t="shared" si="112"/>
        <v>48495</v>
      </c>
      <c r="U136" s="1">
        <f t="shared" si="98"/>
        <v>8385</v>
      </c>
      <c r="V136" s="1">
        <f t="shared" si="99"/>
        <v>9476</v>
      </c>
      <c r="W136" s="1">
        <f>W135</f>
        <v>609</v>
      </c>
      <c r="X136" s="1">
        <v>19460</v>
      </c>
      <c r="Y136" s="1">
        <v>30700</v>
      </c>
      <c r="Z136" s="1">
        <f t="shared" si="111"/>
        <v>4100</v>
      </c>
      <c r="AA136" s="1">
        <f t="shared" si="127"/>
        <v>0</v>
      </c>
      <c r="AB136" s="1">
        <f t="shared" si="84"/>
        <v>2030</v>
      </c>
      <c r="AC136" s="1">
        <v>640</v>
      </c>
      <c r="AD136" s="1">
        <f t="shared" si="82"/>
        <v>89170</v>
      </c>
      <c r="AE136" s="1">
        <v>0</v>
      </c>
      <c r="AF136" s="1">
        <f t="shared" ref="AF136" si="154">SUM(AG136:AI136)</f>
        <v>1243100</v>
      </c>
      <c r="AG136" s="1">
        <f>667600-AG130</f>
        <v>58500</v>
      </c>
      <c r="AH136" s="1">
        <v>1184600</v>
      </c>
      <c r="AI136" s="1">
        <v>0</v>
      </c>
      <c r="AJ136" s="1">
        <f t="shared" ref="AJ136" si="155">SUM(AK136:AP136)</f>
        <v>339668</v>
      </c>
      <c r="AK136" s="1">
        <f>FLOOR(AF136*VLOOKUP(A136,割合!A:B,2,FALSE),1)</f>
        <v>6215</v>
      </c>
      <c r="AL136" s="1">
        <v>113734</v>
      </c>
      <c r="AM136" s="1">
        <v>19665</v>
      </c>
      <c r="AN136" s="1">
        <v>22224</v>
      </c>
      <c r="AO136" s="1">
        <v>1429</v>
      </c>
      <c r="AP136" s="1">
        <v>176401</v>
      </c>
    </row>
    <row r="137" spans="1:49">
      <c r="A137">
        <f t="shared" si="95"/>
        <v>2026</v>
      </c>
      <c r="B137">
        <f t="shared" si="96"/>
        <v>7</v>
      </c>
      <c r="C137" s="1">
        <f t="shared" si="141"/>
        <v>286666</v>
      </c>
      <c r="D137" s="1">
        <f>F137-R137</f>
        <v>286666</v>
      </c>
      <c r="F137" s="1">
        <f t="shared" si="153"/>
        <v>500875</v>
      </c>
      <c r="G137" s="1">
        <f t="shared" si="145"/>
        <v>500875</v>
      </c>
      <c r="H137" s="1">
        <f t="shared" ref="H137:H142" si="156">SUM(I137:O137)-SUM(K137:K137)+Q137</f>
        <v>500875</v>
      </c>
      <c r="I137" s="1">
        <f t="shared" si="103"/>
        <v>400700</v>
      </c>
      <c r="K137" s="1">
        <v>0</v>
      </c>
      <c r="L137" s="1">
        <f t="shared" si="138"/>
        <v>100175</v>
      </c>
      <c r="R137" s="1">
        <f t="shared" si="142"/>
        <v>214209</v>
      </c>
      <c r="S137" s="1">
        <f>FLOOR((G137)*IF(B137&lt;=3,VLOOKUP(A137-1,割合!A:B,2,FALSE),VLOOKUP(A137,割合!A:B,2,FALSE)),1)</f>
        <v>2504</v>
      </c>
      <c r="T137" s="1">
        <f t="shared" si="112"/>
        <v>48495</v>
      </c>
      <c r="U137" s="1">
        <f t="shared" si="98"/>
        <v>8385</v>
      </c>
      <c r="V137" s="1">
        <f t="shared" si="99"/>
        <v>9476</v>
      </c>
      <c r="W137" s="1">
        <f t="shared" si="99"/>
        <v>609</v>
      </c>
      <c r="X137" s="1">
        <v>19640</v>
      </c>
      <c r="Y137" s="1">
        <v>29800</v>
      </c>
      <c r="Z137" s="1">
        <f t="shared" si="111"/>
        <v>4100</v>
      </c>
      <c r="AA137" s="1">
        <f t="shared" si="127"/>
        <v>0</v>
      </c>
      <c r="AB137" s="1">
        <f t="shared" si="84"/>
        <v>2030</v>
      </c>
      <c r="AC137" s="1">
        <v>0</v>
      </c>
      <c r="AD137" s="1">
        <f t="shared" ref="AD137:AD142" si="157">AD136</f>
        <v>89170</v>
      </c>
      <c r="AE137" s="1">
        <v>0</v>
      </c>
    </row>
    <row r="138" spans="1:49">
      <c r="A138">
        <f t="shared" si="95"/>
        <v>2026</v>
      </c>
      <c r="B138">
        <f t="shared" si="96"/>
        <v>8</v>
      </c>
      <c r="C138" s="1">
        <f t="shared" si="141"/>
        <v>286666</v>
      </c>
      <c r="D138" s="1">
        <f>F138-R138</f>
        <v>286666</v>
      </c>
      <c r="F138" s="1">
        <f t="shared" si="153"/>
        <v>500875</v>
      </c>
      <c r="G138" s="1">
        <f t="shared" si="145"/>
        <v>500875</v>
      </c>
      <c r="H138" s="1">
        <f t="shared" si="156"/>
        <v>500875</v>
      </c>
      <c r="I138" s="1">
        <f t="shared" si="103"/>
        <v>400700</v>
      </c>
      <c r="K138" s="1">
        <v>0</v>
      </c>
      <c r="L138" s="1">
        <f t="shared" si="138"/>
        <v>100175</v>
      </c>
      <c r="R138" s="1">
        <f t="shared" si="142"/>
        <v>214209</v>
      </c>
      <c r="S138" s="1">
        <f>FLOOR((G138)*IF(B138&lt;=3,VLOOKUP(A138-1,割合!A:B,2,FALSE),VLOOKUP(A138,割合!A:B,2,FALSE)),1)</f>
        <v>2504</v>
      </c>
      <c r="T138" s="1">
        <f t="shared" si="112"/>
        <v>48495</v>
      </c>
      <c r="U138" s="1">
        <f t="shared" si="98"/>
        <v>8385</v>
      </c>
      <c r="V138" s="1">
        <f t="shared" si="99"/>
        <v>9476</v>
      </c>
      <c r="W138" s="1">
        <f t="shared" si="99"/>
        <v>609</v>
      </c>
      <c r="X138" s="1">
        <v>19640</v>
      </c>
      <c r="Y138" s="1">
        <f t="shared" ref="Y138:Y142" si="158">Y137</f>
        <v>29800</v>
      </c>
      <c r="Z138" s="1">
        <f t="shared" si="111"/>
        <v>4100</v>
      </c>
      <c r="AA138" s="1">
        <f t="shared" si="127"/>
        <v>0</v>
      </c>
      <c r="AB138" s="1">
        <f t="shared" si="84"/>
        <v>2030</v>
      </c>
      <c r="AC138" s="1">
        <v>0</v>
      </c>
      <c r="AD138" s="1">
        <f t="shared" si="157"/>
        <v>89170</v>
      </c>
      <c r="AE138" s="1">
        <v>0</v>
      </c>
    </row>
    <row r="139" spans="1:49">
      <c r="A139">
        <f t="shared" si="95"/>
        <v>2026</v>
      </c>
      <c r="B139">
        <f t="shared" si="96"/>
        <v>9</v>
      </c>
      <c r="C139" s="1">
        <f t="shared" si="141"/>
        <v>286666</v>
      </c>
      <c r="D139" s="1">
        <f>F139-R139</f>
        <v>286666</v>
      </c>
      <c r="F139" s="1">
        <f t="shared" si="153"/>
        <v>500875</v>
      </c>
      <c r="G139" s="1">
        <f t="shared" si="145"/>
        <v>500875</v>
      </c>
      <c r="H139" s="1">
        <f t="shared" si="156"/>
        <v>500875</v>
      </c>
      <c r="I139" s="1">
        <f t="shared" si="103"/>
        <v>400700</v>
      </c>
      <c r="K139" s="1">
        <v>0</v>
      </c>
      <c r="L139" s="1">
        <f t="shared" si="138"/>
        <v>100175</v>
      </c>
      <c r="R139" s="1">
        <f t="shared" si="142"/>
        <v>214209</v>
      </c>
      <c r="S139" s="1">
        <f>FLOOR((G139)*IF(B139&lt;=3,VLOOKUP(A139-1,割合!A:B,2,FALSE),VLOOKUP(A139,割合!A:B,2,FALSE)),1)</f>
        <v>2504</v>
      </c>
      <c r="T139" s="1">
        <f t="shared" si="112"/>
        <v>48495</v>
      </c>
      <c r="U139" s="1">
        <f t="shared" si="98"/>
        <v>8385</v>
      </c>
      <c r="V139" s="1">
        <f t="shared" si="99"/>
        <v>9476</v>
      </c>
      <c r="W139" s="1">
        <f t="shared" si="99"/>
        <v>609</v>
      </c>
      <c r="X139" s="1">
        <v>19640</v>
      </c>
      <c r="Y139" s="1">
        <f t="shared" si="158"/>
        <v>29800</v>
      </c>
      <c r="Z139" s="1">
        <f t="shared" si="111"/>
        <v>4100</v>
      </c>
      <c r="AA139" s="1">
        <f t="shared" si="127"/>
        <v>0</v>
      </c>
      <c r="AB139" s="1">
        <f t="shared" si="84"/>
        <v>2030</v>
      </c>
      <c r="AC139" s="1">
        <v>0</v>
      </c>
      <c r="AD139" s="1">
        <f t="shared" si="157"/>
        <v>89170</v>
      </c>
      <c r="AE139" s="1">
        <v>0</v>
      </c>
    </row>
    <row r="140" spans="1:49">
      <c r="A140">
        <f t="shared" si="95"/>
        <v>2026</v>
      </c>
      <c r="B140">
        <f t="shared" si="96"/>
        <v>10</v>
      </c>
      <c r="C140" s="1">
        <f t="shared" si="141"/>
        <v>286666</v>
      </c>
      <c r="D140" s="1">
        <f>F140-R140</f>
        <v>286666</v>
      </c>
      <c r="F140" s="1">
        <f t="shared" si="153"/>
        <v>500875</v>
      </c>
      <c r="G140" s="1">
        <f t="shared" si="145"/>
        <v>500875</v>
      </c>
      <c r="H140" s="1">
        <f t="shared" si="156"/>
        <v>500875</v>
      </c>
      <c r="I140" s="1">
        <f t="shared" si="103"/>
        <v>400700</v>
      </c>
      <c r="K140" s="1">
        <v>0</v>
      </c>
      <c r="L140" s="1">
        <f t="shared" si="138"/>
        <v>100175</v>
      </c>
      <c r="R140" s="1">
        <f t="shared" si="142"/>
        <v>214209</v>
      </c>
      <c r="S140" s="1">
        <f>FLOOR((G140)*IF(B140&lt;=3,VLOOKUP(A140-1,割合!A:B,2,FALSE),VLOOKUP(A140,割合!A:B,2,FALSE)),1)</f>
        <v>2504</v>
      </c>
      <c r="T140" s="1">
        <f t="shared" si="112"/>
        <v>48495</v>
      </c>
      <c r="U140" s="1">
        <f t="shared" si="98"/>
        <v>8385</v>
      </c>
      <c r="V140" s="1">
        <f t="shared" si="99"/>
        <v>9476</v>
      </c>
      <c r="W140" s="1">
        <f t="shared" si="99"/>
        <v>609</v>
      </c>
      <c r="X140" s="1">
        <v>19640</v>
      </c>
      <c r="Y140" s="1">
        <f t="shared" si="158"/>
        <v>29800</v>
      </c>
      <c r="Z140" s="1">
        <f t="shared" si="111"/>
        <v>4100</v>
      </c>
      <c r="AA140" s="1">
        <f t="shared" si="127"/>
        <v>0</v>
      </c>
      <c r="AB140" s="1">
        <f t="shared" si="127"/>
        <v>2030</v>
      </c>
      <c r="AC140" s="1">
        <v>0</v>
      </c>
      <c r="AD140" s="1">
        <f t="shared" si="157"/>
        <v>89170</v>
      </c>
      <c r="AE140" s="1">
        <v>0</v>
      </c>
    </row>
    <row r="141" spans="1:49">
      <c r="A141">
        <f t="shared" si="95"/>
        <v>2026</v>
      </c>
      <c r="B141">
        <f t="shared" si="96"/>
        <v>11</v>
      </c>
      <c r="C141" s="1">
        <f t="shared" si="141"/>
        <v>286666</v>
      </c>
      <c r="D141" s="1">
        <f>F141-R141</f>
        <v>286666</v>
      </c>
      <c r="F141" s="1">
        <f t="shared" si="153"/>
        <v>500875</v>
      </c>
      <c r="G141" s="1">
        <f t="shared" si="145"/>
        <v>500875</v>
      </c>
      <c r="H141" s="1">
        <f t="shared" si="156"/>
        <v>500875</v>
      </c>
      <c r="I141" s="1">
        <f t="shared" si="103"/>
        <v>400700</v>
      </c>
      <c r="K141" s="1">
        <v>0</v>
      </c>
      <c r="L141" s="1">
        <f t="shared" si="138"/>
        <v>100175</v>
      </c>
      <c r="R141" s="1">
        <f t="shared" si="142"/>
        <v>214209</v>
      </c>
      <c r="S141" s="1">
        <f>FLOOR((G141)*IF(B141&lt;=3,VLOOKUP(A141-1,割合!A:B,2,FALSE),VLOOKUP(A141,割合!A:B,2,FALSE)),1)</f>
        <v>2504</v>
      </c>
      <c r="T141" s="1">
        <f t="shared" si="112"/>
        <v>48495</v>
      </c>
      <c r="U141" s="1">
        <f t="shared" si="98"/>
        <v>8385</v>
      </c>
      <c r="V141" s="1">
        <f t="shared" si="99"/>
        <v>9476</v>
      </c>
      <c r="W141" s="1">
        <f t="shared" si="99"/>
        <v>609</v>
      </c>
      <c r="X141" s="1">
        <v>19640</v>
      </c>
      <c r="Y141" s="1">
        <f t="shared" si="158"/>
        <v>29800</v>
      </c>
      <c r="Z141" s="1">
        <f t="shared" si="111"/>
        <v>4100</v>
      </c>
      <c r="AA141" s="1">
        <f t="shared" si="111"/>
        <v>0</v>
      </c>
      <c r="AB141" s="1">
        <f t="shared" si="111"/>
        <v>2030</v>
      </c>
      <c r="AC141" s="1">
        <v>0</v>
      </c>
      <c r="AD141" s="1">
        <f t="shared" si="157"/>
        <v>89170</v>
      </c>
      <c r="AE141" s="1">
        <v>0</v>
      </c>
      <c r="AW141" s="3"/>
    </row>
    <row r="142" spans="1:49">
      <c r="A142">
        <f t="shared" si="95"/>
        <v>2026</v>
      </c>
      <c r="B142">
        <f t="shared" si="96"/>
        <v>12</v>
      </c>
      <c r="C142" s="1">
        <f t="shared" ref="C142" si="159">D142+E142</f>
        <v>717734</v>
      </c>
      <c r="D142" s="1">
        <f>F142-R142</f>
        <v>286666</v>
      </c>
      <c r="E142" s="1">
        <f>AF142-AJ142</f>
        <v>431068</v>
      </c>
      <c r="F142" s="1">
        <f t="shared" si="153"/>
        <v>500875</v>
      </c>
      <c r="G142" s="1">
        <f t="shared" si="145"/>
        <v>500875</v>
      </c>
      <c r="H142" s="1">
        <f t="shared" si="156"/>
        <v>500875</v>
      </c>
      <c r="I142" s="1">
        <f t="shared" si="103"/>
        <v>400700</v>
      </c>
      <c r="K142" s="1">
        <v>0</v>
      </c>
      <c r="L142" s="1">
        <f t="shared" si="138"/>
        <v>100175</v>
      </c>
      <c r="R142" s="1">
        <f t="shared" ref="R142" si="160">SUM(S142:AE142)</f>
        <v>214209</v>
      </c>
      <c r="S142" s="1">
        <f>FLOOR((G142)*IF(B142&lt;=3,VLOOKUP(A142-1,割合!A:B,2,FALSE),VLOOKUP(A142,割合!A:B,2,FALSE)),1)</f>
        <v>2504</v>
      </c>
      <c r="T142" s="1">
        <f t="shared" si="112"/>
        <v>48495</v>
      </c>
      <c r="U142" s="1">
        <f t="shared" si="98"/>
        <v>8385</v>
      </c>
      <c r="V142" s="1">
        <f t="shared" si="99"/>
        <v>9476</v>
      </c>
      <c r="W142" s="1">
        <f t="shared" si="99"/>
        <v>609</v>
      </c>
      <c r="X142" s="1">
        <v>19640</v>
      </c>
      <c r="Y142" s="1">
        <f t="shared" si="158"/>
        <v>29800</v>
      </c>
      <c r="Z142" s="1">
        <f t="shared" si="111"/>
        <v>4100</v>
      </c>
      <c r="AA142" s="1">
        <f t="shared" si="127"/>
        <v>0</v>
      </c>
      <c r="AB142" s="1">
        <f t="shared" si="111"/>
        <v>2030</v>
      </c>
      <c r="AC142" s="1">
        <v>0</v>
      </c>
      <c r="AD142" s="1">
        <f t="shared" si="157"/>
        <v>89170</v>
      </c>
      <c r="AE142" s="1">
        <v>0</v>
      </c>
      <c r="AF142" s="1">
        <f t="shared" ref="AF142" si="161">SUM(AG142:AI142)</f>
        <v>609100</v>
      </c>
      <c r="AG142" s="1">
        <v>609100</v>
      </c>
      <c r="AH142" s="1">
        <v>0</v>
      </c>
      <c r="AI142" s="1">
        <v>0</v>
      </c>
      <c r="AJ142" s="1">
        <f t="shared" ref="AJ142" si="162">SUM(AK142:AP142)</f>
        <v>178032</v>
      </c>
      <c r="AK142" s="1">
        <f>FLOOR(AF142*VLOOKUP(A142,割合!A:B,2,FALSE),1)</f>
        <v>3045</v>
      </c>
      <c r="AL142" s="1">
        <v>55723</v>
      </c>
      <c r="AM142" s="1">
        <v>10445</v>
      </c>
      <c r="AN142" s="1">
        <v>10078</v>
      </c>
      <c r="AO142" s="1">
        <v>1429</v>
      </c>
      <c r="AP142" s="1">
        <v>97312</v>
      </c>
      <c r="AQ142" s="1">
        <f>SUM(H131:H142)+SUM(AF131:AF142)</f>
        <v>8094132</v>
      </c>
      <c r="AR142" s="1">
        <f t="shared" ref="AR142" si="163">AQ142-AQ130</f>
        <v>-344609</v>
      </c>
      <c r="AS142" s="1">
        <f t="shared" ref="AS142" si="164">AR142/12</f>
        <v>-28717.416666666668</v>
      </c>
      <c r="AT142" s="1">
        <f>SUM(C131:C142)+SUM(AC131:AE142)</f>
        <v>6080344</v>
      </c>
      <c r="AU142" s="1">
        <f t="shared" ref="AU142" si="165">AT142-AT130</f>
        <v>-347482</v>
      </c>
      <c r="AV142" s="1">
        <f t="shared" ref="AV142" si="166">AU142/12</f>
        <v>-28956.833333333332</v>
      </c>
      <c r="AW142" s="3">
        <f>AT142/AQ142</f>
        <v>0.75120395862088729</v>
      </c>
    </row>
  </sheetData>
  <phoneticPr fontId="2"/>
  <conditionalFormatting sqref="C1:C1048576">
    <cfRule type="dataBar" priority="45">
      <dataBar>
        <cfvo type="min" val="0"/>
        <cfvo type="max" val="0"/>
        <color rgb="FFD6007B"/>
      </dataBar>
    </cfRule>
  </conditionalFormatting>
  <conditionalFormatting sqref="D1:D1048576">
    <cfRule type="dataBar" priority="44">
      <dataBar>
        <cfvo type="min" val="0"/>
        <cfvo type="max" val="0"/>
        <color rgb="FFD6007B"/>
      </dataBar>
    </cfRule>
  </conditionalFormatting>
  <conditionalFormatting sqref="E1:E1048576">
    <cfRule type="dataBar" priority="43">
      <dataBar>
        <cfvo type="min" val="0"/>
        <cfvo type="max" val="0"/>
        <color rgb="FFD6007B"/>
      </dataBar>
    </cfRule>
  </conditionalFormatting>
  <conditionalFormatting sqref="F1:F1048576">
    <cfRule type="dataBar" priority="42">
      <dataBar>
        <cfvo type="min" val="0"/>
        <cfvo type="max" val="0"/>
        <color rgb="FF638EC6"/>
      </dataBar>
    </cfRule>
  </conditionalFormatting>
  <conditionalFormatting sqref="G1:G1048576">
    <cfRule type="dataBar" priority="41">
      <dataBar>
        <cfvo type="min" val="0"/>
        <cfvo type="max" val="0"/>
        <color rgb="FF638EC6"/>
      </dataBar>
    </cfRule>
  </conditionalFormatting>
  <conditionalFormatting sqref="H1:H1048576">
    <cfRule type="dataBar" priority="40">
      <dataBar>
        <cfvo type="min" val="0"/>
        <cfvo type="max" val="0"/>
        <color rgb="FF638EC6"/>
      </dataBar>
    </cfRule>
  </conditionalFormatting>
  <conditionalFormatting sqref="I1:I1048576">
    <cfRule type="dataBar" priority="39">
      <dataBar>
        <cfvo type="min" val="0"/>
        <cfvo type="max" val="0"/>
        <color rgb="FF638EC6"/>
      </dataBar>
    </cfRule>
  </conditionalFormatting>
  <conditionalFormatting sqref="J1:J1048576">
    <cfRule type="dataBar" priority="38">
      <dataBar>
        <cfvo type="min" val="0"/>
        <cfvo type="max" val="0"/>
        <color rgb="FF638EC6"/>
      </dataBar>
    </cfRule>
  </conditionalFormatting>
  <conditionalFormatting sqref="K1:K1048576">
    <cfRule type="dataBar" priority="37">
      <dataBar>
        <cfvo type="min" val="0"/>
        <cfvo type="max" val="0"/>
        <color rgb="FF638EC6"/>
      </dataBar>
    </cfRule>
  </conditionalFormatting>
  <conditionalFormatting sqref="L1:L1048576">
    <cfRule type="dataBar" priority="3">
      <dataBar>
        <cfvo type="min" val="0"/>
        <cfvo type="max" val="0"/>
        <color rgb="FF638EC6"/>
      </dataBar>
    </cfRule>
    <cfRule type="dataBar" priority="36">
      <dataBar>
        <cfvo type="min" val="0"/>
        <cfvo type="max" val="0"/>
        <color rgb="FF638EC6"/>
      </dataBar>
    </cfRule>
  </conditionalFormatting>
  <conditionalFormatting sqref="M1:M1048576">
    <cfRule type="dataBar" priority="35">
      <dataBar>
        <cfvo type="min" val="0"/>
        <cfvo type="max" val="0"/>
        <color rgb="FF638EC6"/>
      </dataBar>
    </cfRule>
  </conditionalFormatting>
  <conditionalFormatting sqref="N1:Q1048576">
    <cfRule type="dataBar" priority="34">
      <dataBar>
        <cfvo type="min" val="0"/>
        <cfvo type="max" val="0"/>
        <color rgb="FF638EC6"/>
      </dataBar>
    </cfRule>
  </conditionalFormatting>
  <conditionalFormatting sqref="R1:R1048576">
    <cfRule type="dataBar" priority="33">
      <dataBar>
        <cfvo type="min" val="0"/>
        <cfvo type="max" val="0"/>
        <color rgb="FF63C384"/>
      </dataBar>
    </cfRule>
  </conditionalFormatting>
  <conditionalFormatting sqref="S1:S1048576">
    <cfRule type="dataBar" priority="32">
      <dataBar>
        <cfvo type="min" val="0"/>
        <cfvo type="max" val="0"/>
        <color rgb="FF63C384"/>
      </dataBar>
    </cfRule>
  </conditionalFormatting>
  <conditionalFormatting sqref="T1:T1048576">
    <cfRule type="dataBar" priority="31">
      <dataBar>
        <cfvo type="min" val="0"/>
        <cfvo type="max" val="0"/>
        <color rgb="FF63C384"/>
      </dataBar>
    </cfRule>
  </conditionalFormatting>
  <conditionalFormatting sqref="U1:U1048576">
    <cfRule type="dataBar" priority="30">
      <dataBar>
        <cfvo type="min" val="0"/>
        <cfvo type="max" val="0"/>
        <color rgb="FF63C384"/>
      </dataBar>
    </cfRule>
  </conditionalFormatting>
  <conditionalFormatting sqref="V1:W1048576">
    <cfRule type="dataBar" priority="29">
      <dataBar>
        <cfvo type="min" val="0"/>
        <cfvo type="max" val="0"/>
        <color rgb="FF63C384"/>
      </dataBar>
    </cfRule>
  </conditionalFormatting>
  <conditionalFormatting sqref="X1:X1048576">
    <cfRule type="dataBar" priority="28">
      <dataBar>
        <cfvo type="min" val="0"/>
        <cfvo type="max" val="0"/>
        <color rgb="FF63C384"/>
      </dataBar>
    </cfRule>
  </conditionalFormatting>
  <conditionalFormatting sqref="Y1:Y1048576">
    <cfRule type="dataBar" priority="27">
      <dataBar>
        <cfvo type="min" val="0"/>
        <cfvo type="max" val="0"/>
        <color rgb="FF63C384"/>
      </dataBar>
    </cfRule>
  </conditionalFormatting>
  <conditionalFormatting sqref="Z1:Z1048576">
    <cfRule type="dataBar" priority="26">
      <dataBar>
        <cfvo type="min" val="0"/>
        <cfvo type="max" val="0"/>
        <color rgb="FF63C384"/>
      </dataBar>
    </cfRule>
  </conditionalFormatting>
  <conditionalFormatting sqref="AA1:AA1048576">
    <cfRule type="dataBar" priority="25">
      <dataBar>
        <cfvo type="min" val="0"/>
        <cfvo type="max" val="0"/>
        <color rgb="FF63C384"/>
      </dataBar>
    </cfRule>
  </conditionalFormatting>
  <conditionalFormatting sqref="AB1:AB1048576">
    <cfRule type="dataBar" priority="24">
      <dataBar>
        <cfvo type="min" val="0"/>
        <cfvo type="max" val="0"/>
        <color rgb="FF63C384"/>
      </dataBar>
    </cfRule>
  </conditionalFormatting>
  <conditionalFormatting sqref="AC1:AC1048576">
    <cfRule type="dataBar" priority="23">
      <dataBar>
        <cfvo type="min" val="0"/>
        <cfvo type="max" val="0"/>
        <color rgb="FF63C384"/>
      </dataBar>
    </cfRule>
  </conditionalFormatting>
  <conditionalFormatting sqref="AD1:AD1048576">
    <cfRule type="dataBar" priority="22">
      <dataBar>
        <cfvo type="min" val="0"/>
        <cfvo type="max" val="0"/>
        <color rgb="FF63C384"/>
      </dataBar>
    </cfRule>
  </conditionalFormatting>
  <conditionalFormatting sqref="AE1:AE1048576">
    <cfRule type="dataBar" priority="21">
      <dataBar>
        <cfvo type="min" val="0"/>
        <cfvo type="max" val="0"/>
        <color rgb="FF63C384"/>
      </dataBar>
    </cfRule>
  </conditionalFormatting>
  <conditionalFormatting sqref="AF1:AF1048576">
    <cfRule type="dataBar" priority="20">
      <dataBar>
        <cfvo type="min" val="0"/>
        <cfvo type="max" val="0"/>
        <color rgb="FFFF555A"/>
      </dataBar>
    </cfRule>
  </conditionalFormatting>
  <conditionalFormatting sqref="AG1:AG1048576">
    <cfRule type="dataBar" priority="19">
      <dataBar>
        <cfvo type="min" val="0"/>
        <cfvo type="max" val="0"/>
        <color rgb="FFFF555A"/>
      </dataBar>
    </cfRule>
  </conditionalFormatting>
  <conditionalFormatting sqref="AH1:AH1048576">
    <cfRule type="dataBar" priority="18">
      <dataBar>
        <cfvo type="min" val="0"/>
        <cfvo type="max" val="0"/>
        <color rgb="FFFF555A"/>
      </dataBar>
    </cfRule>
  </conditionalFormatting>
  <conditionalFormatting sqref="AI1:AI1048576">
    <cfRule type="dataBar" priority="17">
      <dataBar>
        <cfvo type="min" val="0"/>
        <cfvo type="max" val="0"/>
        <color rgb="FFFF555A"/>
      </dataBar>
    </cfRule>
  </conditionalFormatting>
  <conditionalFormatting sqref="AJ1:AJ1048576">
    <cfRule type="dataBar" priority="16">
      <dataBar>
        <cfvo type="min" val="0"/>
        <cfvo type="max" val="0"/>
        <color rgb="FF008AEF"/>
      </dataBar>
    </cfRule>
  </conditionalFormatting>
  <conditionalFormatting sqref="AK1:AK1048576">
    <cfRule type="dataBar" priority="15">
      <dataBar>
        <cfvo type="min" val="0"/>
        <cfvo type="max" val="0"/>
        <color rgb="FF008AEF"/>
      </dataBar>
    </cfRule>
  </conditionalFormatting>
  <conditionalFormatting sqref="AL1:AL1048576">
    <cfRule type="dataBar" priority="14">
      <dataBar>
        <cfvo type="min" val="0"/>
        <cfvo type="max" val="0"/>
        <color rgb="FF008AEF"/>
      </dataBar>
    </cfRule>
  </conditionalFormatting>
  <conditionalFormatting sqref="AM1:AM1048576">
    <cfRule type="dataBar" priority="13">
      <dataBar>
        <cfvo type="min" val="0"/>
        <cfvo type="max" val="0"/>
        <color rgb="FF008AEF"/>
      </dataBar>
    </cfRule>
  </conditionalFormatting>
  <conditionalFormatting sqref="AN1:AO1048576">
    <cfRule type="dataBar" priority="12">
      <dataBar>
        <cfvo type="min" val="0"/>
        <cfvo type="max" val="0"/>
        <color rgb="FF008AEF"/>
      </dataBar>
    </cfRule>
  </conditionalFormatting>
  <conditionalFormatting sqref="AP1:AP1048576">
    <cfRule type="dataBar" priority="11">
      <dataBar>
        <cfvo type="min" val="0"/>
        <cfvo type="max" val="0"/>
        <color rgb="FF008AEF"/>
      </dataBar>
    </cfRule>
  </conditionalFormatting>
  <conditionalFormatting sqref="AQ1:AQ1048576">
    <cfRule type="dataBar" priority="10">
      <dataBar>
        <cfvo type="min" val="0"/>
        <cfvo type="max" val="0"/>
        <color rgb="FFFFB628"/>
      </dataBar>
    </cfRule>
  </conditionalFormatting>
  <conditionalFormatting sqref="AR1:AR1048576">
    <cfRule type="dataBar" priority="9">
      <dataBar>
        <cfvo type="min" val="0"/>
        <cfvo type="max" val="0"/>
        <color rgb="FFFFB628"/>
      </dataBar>
    </cfRule>
  </conditionalFormatting>
  <conditionalFormatting sqref="AS1:AS1048576">
    <cfRule type="dataBar" priority="8">
      <dataBar>
        <cfvo type="min" val="0"/>
        <cfvo type="max" val="0"/>
        <color rgb="FFFFB628"/>
      </dataBar>
    </cfRule>
  </conditionalFormatting>
  <conditionalFormatting sqref="AT1:AT1048576">
    <cfRule type="dataBar" priority="7">
      <dataBar>
        <cfvo type="min" val="0"/>
        <cfvo type="max" val="0"/>
        <color rgb="FFFFB628"/>
      </dataBar>
    </cfRule>
  </conditionalFormatting>
  <conditionalFormatting sqref="AU1:AU1048576">
    <cfRule type="dataBar" priority="6">
      <dataBar>
        <cfvo type="min" val="0"/>
        <cfvo type="max" val="0"/>
        <color rgb="FFFFB628"/>
      </dataBar>
    </cfRule>
  </conditionalFormatting>
  <conditionalFormatting sqref="AV1:AV1048576">
    <cfRule type="dataBar" priority="5">
      <dataBar>
        <cfvo type="min" val="0"/>
        <cfvo type="max" val="0"/>
        <color rgb="FFFFB628"/>
      </dataBar>
    </cfRule>
  </conditionalFormatting>
  <conditionalFormatting sqref="AW1:AW1048576">
    <cfRule type="dataBar" priority="4">
      <dataBar>
        <cfvo type="min" val="0"/>
        <cfvo type="max" val="0"/>
        <color rgb="FFFFB628"/>
      </dataBar>
    </cfRule>
  </conditionalFormatting>
  <conditionalFormatting sqref="AO1:AO1048576">
    <cfRule type="dataBar" priority="1">
      <dataBar>
        <cfvo type="min" val="0"/>
        <cfvo type="max" val="0"/>
        <color rgb="FF008AEF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13"/>
  <sheetViews>
    <sheetView workbookViewId="0">
      <selection activeCell="A104" sqref="A104"/>
    </sheetView>
  </sheetViews>
  <sheetFormatPr defaultRowHeight="13.5"/>
  <sheetData>
    <row r="1" spans="1:2">
      <c r="B1" t="s">
        <v>11</v>
      </c>
    </row>
    <row r="2" spans="1:2">
      <c r="A2">
        <v>2015</v>
      </c>
      <c r="B2" s="4">
        <f>5/1000</f>
        <v>5.0000000000000001E-3</v>
      </c>
    </row>
    <row r="3" spans="1:2">
      <c r="A3">
        <v>2016</v>
      </c>
      <c r="B3" s="4">
        <f>4/1000</f>
        <v>4.0000000000000001E-3</v>
      </c>
    </row>
    <row r="4" spans="1:2">
      <c r="A4">
        <v>2017</v>
      </c>
      <c r="B4" s="4">
        <f t="shared" ref="B4:B9" si="0">3/1000</f>
        <v>3.0000000000000001E-3</v>
      </c>
    </row>
    <row r="5" spans="1:2">
      <c r="A5">
        <v>2018</v>
      </c>
      <c r="B5" s="4">
        <f t="shared" si="0"/>
        <v>3.0000000000000001E-3</v>
      </c>
    </row>
    <row r="6" spans="1:2">
      <c r="A6">
        <v>2019</v>
      </c>
      <c r="B6" s="4">
        <f t="shared" si="0"/>
        <v>3.0000000000000001E-3</v>
      </c>
    </row>
    <row r="7" spans="1:2">
      <c r="A7">
        <v>2020</v>
      </c>
      <c r="B7" s="4">
        <f t="shared" si="0"/>
        <v>3.0000000000000001E-3</v>
      </c>
    </row>
    <row r="8" spans="1:2">
      <c r="A8">
        <v>2021</v>
      </c>
      <c r="B8" s="4">
        <f t="shared" si="0"/>
        <v>3.0000000000000001E-3</v>
      </c>
    </row>
    <row r="9" spans="1:2">
      <c r="A9">
        <v>2022</v>
      </c>
      <c r="B9" s="4">
        <f t="shared" si="0"/>
        <v>3.0000000000000001E-3</v>
      </c>
    </row>
    <row r="10" spans="1:2">
      <c r="A10">
        <v>2023</v>
      </c>
      <c r="B10" s="4">
        <f>6/1000</f>
        <v>6.0000000000000001E-3</v>
      </c>
    </row>
    <row r="11" spans="1:2">
      <c r="A11">
        <v>2024</v>
      </c>
      <c r="B11" s="4">
        <f>6/1000</f>
        <v>6.0000000000000001E-3</v>
      </c>
    </row>
    <row r="12" spans="1:2">
      <c r="A12">
        <v>2025</v>
      </c>
      <c r="B12" s="4">
        <f>5.5/1000</f>
        <v>5.4999999999999997E-3</v>
      </c>
    </row>
    <row r="13" spans="1:2">
      <c r="A13">
        <v>2026</v>
      </c>
      <c r="B13" s="4">
        <f>5/1000</f>
        <v>5.0000000000000001E-3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E120"/>
  <sheetViews>
    <sheetView workbookViewId="0">
      <selection activeCell="C15" sqref="C15"/>
    </sheetView>
  </sheetViews>
  <sheetFormatPr defaultRowHeight="13.5"/>
  <cols>
    <col min="1" max="1" width="9" style="1"/>
  </cols>
  <sheetData>
    <row r="1" spans="1:5">
      <c r="A1" s="1" t="s">
        <v>6</v>
      </c>
    </row>
    <row r="2" spans="1:5">
      <c r="A2" s="1" t="s">
        <v>40</v>
      </c>
      <c r="B2" s="1">
        <v>233000</v>
      </c>
      <c r="E2" t="s">
        <v>83</v>
      </c>
    </row>
    <row r="3" spans="1:5">
      <c r="A3" s="1" t="s">
        <v>41</v>
      </c>
      <c r="B3" s="1">
        <v>240000</v>
      </c>
      <c r="C3" s="2">
        <f>B3-B2</f>
        <v>7000</v>
      </c>
      <c r="D3" s="4">
        <f>C3/B2</f>
        <v>3.0042918454935622E-2</v>
      </c>
      <c r="E3" t="s">
        <v>84</v>
      </c>
    </row>
    <row r="4" spans="1:5">
      <c r="A4" s="1" t="s">
        <v>42</v>
      </c>
      <c r="B4" s="1">
        <v>246900</v>
      </c>
      <c r="C4" s="2">
        <f t="shared" ref="C4:C10" si="0">B4-B3</f>
        <v>6900</v>
      </c>
      <c r="D4" s="4">
        <f t="shared" ref="D4:D9" si="1">C4/B3</f>
        <v>2.8750000000000001E-2</v>
      </c>
      <c r="E4" t="s">
        <v>85</v>
      </c>
    </row>
    <row r="5" spans="1:5">
      <c r="A5" s="1" t="s">
        <v>43</v>
      </c>
      <c r="B5" s="1">
        <v>252130</v>
      </c>
      <c r="C5" s="2">
        <f t="shared" si="0"/>
        <v>5230</v>
      </c>
      <c r="D5" s="4">
        <f t="shared" si="1"/>
        <v>2.1182665046577561E-2</v>
      </c>
      <c r="E5" t="s">
        <v>86</v>
      </c>
    </row>
    <row r="6" spans="1:5">
      <c r="A6" s="1" t="s">
        <v>44</v>
      </c>
      <c r="B6" s="1">
        <v>261530</v>
      </c>
      <c r="C6" s="2">
        <f t="shared" si="0"/>
        <v>9400</v>
      </c>
      <c r="D6" s="4">
        <f t="shared" si="1"/>
        <v>3.7282354341014554E-2</v>
      </c>
      <c r="E6" t="s">
        <v>87</v>
      </c>
    </row>
    <row r="7" spans="1:5">
      <c r="A7" s="1" t="s">
        <v>45</v>
      </c>
      <c r="B7" s="1">
        <v>268230</v>
      </c>
      <c r="C7" s="2">
        <f t="shared" si="0"/>
        <v>6700</v>
      </c>
      <c r="D7" s="4">
        <f t="shared" si="1"/>
        <v>2.5618475891867089E-2</v>
      </c>
      <c r="E7" t="s">
        <v>88</v>
      </c>
    </row>
    <row r="8" spans="1:5">
      <c r="A8" s="1" t="s">
        <v>46</v>
      </c>
      <c r="B8" s="1">
        <v>290000</v>
      </c>
      <c r="C8" s="2">
        <f t="shared" si="0"/>
        <v>21770</v>
      </c>
      <c r="D8" s="4">
        <f t="shared" si="1"/>
        <v>8.1161689594750772E-2</v>
      </c>
      <c r="E8" t="s">
        <v>89</v>
      </c>
    </row>
    <row r="9" spans="1:5">
      <c r="A9" s="1" t="s">
        <v>47</v>
      </c>
      <c r="B9" s="1">
        <v>300500</v>
      </c>
      <c r="C9" s="2">
        <f t="shared" si="0"/>
        <v>10500</v>
      </c>
      <c r="D9" s="4">
        <f t="shared" si="1"/>
        <v>3.6206896551724141E-2</v>
      </c>
      <c r="E9" t="s">
        <v>90</v>
      </c>
    </row>
    <row r="10" spans="1:5">
      <c r="A10" s="1" t="s">
        <v>48</v>
      </c>
      <c r="B10" s="1">
        <v>314400</v>
      </c>
      <c r="C10" s="2">
        <f t="shared" si="0"/>
        <v>13900</v>
      </c>
      <c r="D10" s="4">
        <f>C10/B9</f>
        <v>4.6256239600665557E-2</v>
      </c>
      <c r="E10" t="s">
        <v>91</v>
      </c>
    </row>
    <row r="11" spans="1:5">
      <c r="A11" s="1" t="s">
        <v>49</v>
      </c>
      <c r="B11" s="1">
        <v>335600</v>
      </c>
      <c r="C11" s="2">
        <f>B11-B10</f>
        <v>21200</v>
      </c>
      <c r="D11" s="4">
        <f>C11/B10</f>
        <v>6.7430025445292627E-2</v>
      </c>
      <c r="E11" t="s">
        <v>82</v>
      </c>
    </row>
    <row r="12" spans="1:5">
      <c r="A12" s="1" t="s">
        <v>50</v>
      </c>
      <c r="B12" s="1">
        <v>385500</v>
      </c>
      <c r="C12" s="2">
        <f>B12-B11</f>
        <v>49900</v>
      </c>
      <c r="D12" s="4">
        <f>C12/B11</f>
        <v>0.14868891537544696</v>
      </c>
      <c r="E12" t="s">
        <v>81</v>
      </c>
    </row>
    <row r="13" spans="1:5">
      <c r="A13" s="1" t="s">
        <v>50</v>
      </c>
      <c r="B13" s="1">
        <v>400700</v>
      </c>
      <c r="C13" s="2">
        <f>B13-B12</f>
        <v>15200</v>
      </c>
      <c r="D13" s="4">
        <f>C13/B12</f>
        <v>3.9429312581063553E-2</v>
      </c>
      <c r="E13" t="s">
        <v>81</v>
      </c>
    </row>
    <row r="14" spans="1:5">
      <c r="D14" s="5"/>
    </row>
    <row r="15" spans="1:5">
      <c r="A15" s="1" t="s">
        <v>51</v>
      </c>
      <c r="B15" s="2">
        <f>B13+C15</f>
        <v>415639.03938444454</v>
      </c>
      <c r="C15" s="2">
        <f>B13*D15</f>
        <v>14939.039384444532</v>
      </c>
      <c r="D15" s="5">
        <f>MEDIAN(D3:D13)</f>
        <v>3.7282354341014554E-2</v>
      </c>
      <c r="E15" t="s">
        <v>92</v>
      </c>
    </row>
    <row r="16" spans="1:5">
      <c r="A16" s="1" t="s">
        <v>52</v>
      </c>
      <c r="B16" s="2">
        <f>B15+C16</f>
        <v>431135.04132873431</v>
      </c>
      <c r="C16" s="2">
        <f>B15*D16</f>
        <v>15496.001944289765</v>
      </c>
      <c r="D16" s="5">
        <f>D15</f>
        <v>3.7282354341014554E-2</v>
      </c>
      <c r="E16" t="s">
        <v>93</v>
      </c>
    </row>
    <row r="17" spans="1:5">
      <c r="A17" s="1" t="s">
        <v>53</v>
      </c>
      <c r="B17" s="2">
        <f t="shared" ref="B17:B19" si="2">B16+C17</f>
        <v>447208.77070838015</v>
      </c>
      <c r="C17" s="2">
        <f t="shared" ref="C17:C44" si="3">B16*D17</f>
        <v>16073.729379645827</v>
      </c>
      <c r="D17" s="5">
        <f t="shared" ref="D17:D44" si="4">D16</f>
        <v>3.7282354341014554E-2</v>
      </c>
      <c r="E17" t="s">
        <v>94</v>
      </c>
    </row>
    <row r="18" spans="1:5">
      <c r="A18" s="1" t="s">
        <v>54</v>
      </c>
      <c r="B18" s="2">
        <f t="shared" si="2"/>
        <v>463881.7665623395</v>
      </c>
      <c r="C18" s="2">
        <f t="shared" si="3"/>
        <v>16672.995853959357</v>
      </c>
      <c r="D18" s="5">
        <f t="shared" si="4"/>
        <v>3.7282354341014554E-2</v>
      </c>
      <c r="E18" t="s">
        <v>95</v>
      </c>
    </row>
    <row r="19" spans="1:5">
      <c r="A19" s="1" t="s">
        <v>55</v>
      </c>
      <c r="B19" s="2">
        <f t="shared" si="2"/>
        <v>481176.37095565244</v>
      </c>
      <c r="C19" s="2">
        <f t="shared" si="3"/>
        <v>17294.604393312937</v>
      </c>
      <c r="D19" s="5">
        <f t="shared" si="4"/>
        <v>3.7282354341014554E-2</v>
      </c>
      <c r="E19" t="s">
        <v>96</v>
      </c>
    </row>
    <row r="20" spans="1:5">
      <c r="A20" s="1" t="s">
        <v>56</v>
      </c>
      <c r="B20" s="2">
        <f t="shared" ref="B20:B44" si="5">B19+C20</f>
        <v>499115.75891814457</v>
      </c>
      <c r="C20" s="2">
        <f t="shared" si="3"/>
        <v>17939.387962492099</v>
      </c>
      <c r="D20" s="5">
        <f t="shared" si="4"/>
        <v>3.7282354341014554E-2</v>
      </c>
      <c r="E20" t="s">
        <v>97</v>
      </c>
    </row>
    <row r="21" spans="1:5">
      <c r="A21" s="1" t="s">
        <v>57</v>
      </c>
      <c r="B21" s="2">
        <f t="shared" si="5"/>
        <v>517723.96949931525</v>
      </c>
      <c r="C21" s="2">
        <f t="shared" si="3"/>
        <v>18608.210581170661</v>
      </c>
      <c r="D21" s="5">
        <f t="shared" si="4"/>
        <v>3.7282354341014554E-2</v>
      </c>
      <c r="E21" t="s">
        <v>98</v>
      </c>
    </row>
    <row r="22" spans="1:5">
      <c r="A22" s="1" t="s">
        <v>58</v>
      </c>
      <c r="B22" s="2">
        <f t="shared" si="5"/>
        <v>537025.93798102532</v>
      </c>
      <c r="C22" s="2">
        <f t="shared" si="3"/>
        <v>19301.968481710082</v>
      </c>
      <c r="D22" s="5">
        <f t="shared" si="4"/>
        <v>3.7282354341014554E-2</v>
      </c>
      <c r="E22" t="s">
        <v>99</v>
      </c>
    </row>
    <row r="23" spans="1:5">
      <c r="A23" s="1" t="s">
        <v>59</v>
      </c>
      <c r="B23" s="2">
        <f t="shared" si="5"/>
        <v>557047.52929114958</v>
      </c>
      <c r="C23" s="2">
        <f t="shared" si="3"/>
        <v>20021.591310124291</v>
      </c>
      <c r="D23" s="5">
        <f t="shared" si="4"/>
        <v>3.7282354341014554E-2</v>
      </c>
      <c r="E23" t="s">
        <v>100</v>
      </c>
    </row>
    <row r="24" spans="1:5">
      <c r="A24" s="1" t="s">
        <v>60</v>
      </c>
      <c r="B24" s="2">
        <f t="shared" si="5"/>
        <v>577815.57266296889</v>
      </c>
      <c r="C24" s="2">
        <f t="shared" si="3"/>
        <v>20768.043371819324</v>
      </c>
      <c r="D24" s="5">
        <f t="shared" si="4"/>
        <v>3.7282354341014554E-2</v>
      </c>
      <c r="E24" t="s">
        <v>101</v>
      </c>
    </row>
    <row r="25" spans="1:5">
      <c r="A25" s="1" t="s">
        <v>61</v>
      </c>
      <c r="B25" s="2">
        <f t="shared" si="5"/>
        <v>599357.89758674591</v>
      </c>
      <c r="C25" s="2">
        <f t="shared" si="3"/>
        <v>21542.324923777047</v>
      </c>
      <c r="D25" s="5">
        <f t="shared" si="4"/>
        <v>3.7282354341014554E-2</v>
      </c>
      <c r="E25" t="s">
        <v>102</v>
      </c>
    </row>
    <row r="26" spans="1:5">
      <c r="A26" s="1" t="s">
        <v>62</v>
      </c>
      <c r="B26" s="2">
        <f t="shared" si="5"/>
        <v>621703.37110166042</v>
      </c>
      <c r="C26" s="2">
        <f t="shared" si="3"/>
        <v>22345.473514914571</v>
      </c>
      <c r="D26" s="5">
        <f t="shared" si="4"/>
        <v>3.7282354341014554E-2</v>
      </c>
      <c r="E26" t="s">
        <v>103</v>
      </c>
    </row>
    <row r="27" spans="1:5">
      <c r="A27" s="1" t="s">
        <v>63</v>
      </c>
      <c r="B27" s="2">
        <f t="shared" si="5"/>
        <v>644881.9364780758</v>
      </c>
      <c r="C27" s="2">
        <f t="shared" si="3"/>
        <v>23178.565376415372</v>
      </c>
      <c r="D27" s="5">
        <f t="shared" si="4"/>
        <v>3.7282354341014554E-2</v>
      </c>
      <c r="E27" t="s">
        <v>104</v>
      </c>
    </row>
    <row r="28" spans="1:5">
      <c r="A28" s="1" t="s">
        <v>64</v>
      </c>
      <c r="B28" s="2">
        <f t="shared" si="5"/>
        <v>668924.6533419711</v>
      </c>
      <c r="C28" s="2">
        <f t="shared" si="3"/>
        <v>24042.716863895261</v>
      </c>
      <c r="D28" s="5">
        <f t="shared" si="4"/>
        <v>3.7282354341014554E-2</v>
      </c>
      <c r="E28" t="s">
        <v>105</v>
      </c>
    </row>
    <row r="29" spans="1:5">
      <c r="A29" s="1" t="s">
        <v>65</v>
      </c>
      <c r="B29" s="2">
        <f t="shared" si="5"/>
        <v>693863.73929530685</v>
      </c>
      <c r="C29" s="2">
        <f t="shared" si="3"/>
        <v>24939.085953335692</v>
      </c>
      <c r="D29" s="5">
        <f t="shared" si="4"/>
        <v>3.7282354341014554E-2</v>
      </c>
      <c r="E29" t="s">
        <v>106</v>
      </c>
    </row>
    <row r="30" spans="1:5">
      <c r="A30" s="1" t="s">
        <v>66</v>
      </c>
      <c r="B30" s="2">
        <f t="shared" si="5"/>
        <v>719732.61308809579</v>
      </c>
      <c r="C30" s="2">
        <f t="shared" si="3"/>
        <v>25868.873792788974</v>
      </c>
      <c r="D30" s="5">
        <f t="shared" si="4"/>
        <v>3.7282354341014554E-2</v>
      </c>
      <c r="E30" t="s">
        <v>107</v>
      </c>
    </row>
    <row r="31" spans="1:5">
      <c r="A31" s="1" t="s">
        <v>67</v>
      </c>
      <c r="B31" s="2">
        <f t="shared" si="5"/>
        <v>746565.93940003053</v>
      </c>
      <c r="C31" s="2">
        <f t="shared" si="3"/>
        <v>26833.326311934718</v>
      </c>
      <c r="D31" s="5">
        <f t="shared" si="4"/>
        <v>3.7282354341014554E-2</v>
      </c>
      <c r="E31" t="s">
        <v>108</v>
      </c>
    </row>
    <row r="32" spans="1:5">
      <c r="A32" s="1" t="s">
        <v>68</v>
      </c>
      <c r="B32" s="2">
        <f t="shared" si="5"/>
        <v>774399.67529167491</v>
      </c>
      <c r="C32" s="2">
        <f t="shared" si="3"/>
        <v>27833.735891644337</v>
      </c>
      <c r="D32" s="5">
        <f t="shared" si="4"/>
        <v>3.7282354341014554E-2</v>
      </c>
      <c r="E32" t="s">
        <v>109</v>
      </c>
    </row>
    <row r="33" spans="1:5">
      <c r="A33" s="1" t="s">
        <v>69</v>
      </c>
      <c r="B33" s="2">
        <f t="shared" si="5"/>
        <v>803271.11838746571</v>
      </c>
      <c r="C33" s="2">
        <f t="shared" si="3"/>
        <v>28871.443095790837</v>
      </c>
      <c r="D33" s="5">
        <f t="shared" si="4"/>
        <v>3.7282354341014554E-2</v>
      </c>
      <c r="E33" t="s">
        <v>110</v>
      </c>
    </row>
    <row r="34" spans="1:5">
      <c r="A34" s="1" t="s">
        <v>70</v>
      </c>
      <c r="B34" s="2">
        <f t="shared" si="5"/>
        <v>833218.95685509022</v>
      </c>
      <c r="C34" s="2">
        <f t="shared" si="3"/>
        <v>29947.838467624548</v>
      </c>
      <c r="D34" s="5">
        <f t="shared" si="4"/>
        <v>3.7282354341014554E-2</v>
      </c>
      <c r="E34" t="s">
        <v>111</v>
      </c>
    </row>
    <row r="35" spans="1:5">
      <c r="A35" s="1" t="s">
        <v>71</v>
      </c>
      <c r="B35" s="2">
        <f t="shared" si="5"/>
        <v>864283.32124821225</v>
      </c>
      <c r="C35" s="2">
        <f t="shared" si="3"/>
        <v>31064.364393121992</v>
      </c>
      <c r="D35" s="5">
        <f t="shared" si="4"/>
        <v>3.7282354341014554E-2</v>
      </c>
      <c r="E35" t="s">
        <v>112</v>
      </c>
    </row>
    <row r="36" spans="1:5">
      <c r="A36" s="1" t="s">
        <v>72</v>
      </c>
      <c r="B36" s="2">
        <f t="shared" si="5"/>
        <v>896505.83828201704</v>
      </c>
      <c r="C36" s="2">
        <f t="shared" si="3"/>
        <v>32222.517033804761</v>
      </c>
      <c r="D36" s="5">
        <f t="shared" si="4"/>
        <v>3.7282354341014554E-2</v>
      </c>
      <c r="E36" t="s">
        <v>113</v>
      </c>
    </row>
    <row r="37" spans="1:5">
      <c r="A37" s="1" t="s">
        <v>73</v>
      </c>
      <c r="B37" s="2">
        <f t="shared" si="5"/>
        <v>929929.68661363551</v>
      </c>
      <c r="C37" s="2">
        <f t="shared" si="3"/>
        <v>33423.84833161845</v>
      </c>
      <c r="D37" s="5">
        <f t="shared" si="4"/>
        <v>3.7282354341014554E-2</v>
      </c>
      <c r="E37" t="s">
        <v>114</v>
      </c>
    </row>
    <row r="38" spans="1:5">
      <c r="A38" s="1" t="s">
        <v>74</v>
      </c>
      <c r="B38" s="2">
        <f t="shared" si="5"/>
        <v>964599.65470219369</v>
      </c>
      <c r="C38" s="2">
        <f t="shared" si="3"/>
        <v>34669.968088558177</v>
      </c>
      <c r="D38" s="5">
        <f t="shared" si="4"/>
        <v>3.7282354341014554E-2</v>
      </c>
      <c r="E38" t="s">
        <v>115</v>
      </c>
    </row>
    <row r="39" spans="1:5">
      <c r="A39" s="1" t="s">
        <v>75</v>
      </c>
      <c r="B39" s="2">
        <f t="shared" si="5"/>
        <v>1000562.2008260211</v>
      </c>
      <c r="C39" s="2">
        <f t="shared" si="3"/>
        <v>35962.546123827473</v>
      </c>
      <c r="D39" s="5">
        <f t="shared" si="4"/>
        <v>3.7282354341014554E-2</v>
      </c>
      <c r="E39" t="s">
        <v>116</v>
      </c>
    </row>
    <row r="40" spans="1:5">
      <c r="A40" s="1" t="s">
        <v>76</v>
      </c>
      <c r="B40" s="2">
        <f t="shared" si="5"/>
        <v>1037865.5153374423</v>
      </c>
      <c r="C40" s="2">
        <f t="shared" si="3"/>
        <v>37303.314511421086</v>
      </c>
      <c r="D40" s="5">
        <f t="shared" si="4"/>
        <v>3.7282354341014554E-2</v>
      </c>
      <c r="E40" t="s">
        <v>117</v>
      </c>
    </row>
    <row r="41" spans="1:5">
      <c r="A41" s="1" t="s">
        <v>77</v>
      </c>
      <c r="B41" s="2">
        <f t="shared" si="5"/>
        <v>1076559.5852385724</v>
      </c>
      <c r="C41" s="2">
        <f t="shared" si="3"/>
        <v>38694.069901130199</v>
      </c>
      <c r="D41" s="5">
        <f t="shared" si="4"/>
        <v>3.7282354341014554E-2</v>
      </c>
      <c r="E41" t="s">
        <v>118</v>
      </c>
    </row>
    <row r="42" spans="1:5">
      <c r="A42" s="1" t="s">
        <v>78</v>
      </c>
      <c r="B42" s="2">
        <f t="shared" si="5"/>
        <v>1116696.2611646526</v>
      </c>
      <c r="C42" s="2">
        <f t="shared" si="3"/>
        <v>40136.675926080119</v>
      </c>
      <c r="D42" s="5">
        <f t="shared" si="4"/>
        <v>3.7282354341014554E-2</v>
      </c>
      <c r="E42" t="s">
        <v>119</v>
      </c>
    </row>
    <row r="43" spans="1:5">
      <c r="A43" s="1" t="s">
        <v>79</v>
      </c>
      <c r="B43" s="2">
        <f t="shared" si="5"/>
        <v>1158329.3268646793</v>
      </c>
      <c r="C43" s="2">
        <f t="shared" si="3"/>
        <v>41633.065700026709</v>
      </c>
      <c r="D43" s="5">
        <f t="shared" si="4"/>
        <v>3.7282354341014554E-2</v>
      </c>
      <c r="E43" t="s">
        <v>120</v>
      </c>
    </row>
    <row r="44" spans="1:5">
      <c r="A44" s="1" t="s">
        <v>80</v>
      </c>
      <c r="B44" s="2">
        <f t="shared" si="5"/>
        <v>1201514.5712724372</v>
      </c>
      <c r="C44" s="2">
        <f t="shared" si="3"/>
        <v>43185.24440775784</v>
      </c>
      <c r="D44" s="5">
        <f t="shared" si="4"/>
        <v>3.7282354341014554E-2</v>
      </c>
      <c r="E44" t="s">
        <v>121</v>
      </c>
    </row>
    <row r="45" spans="1:5">
      <c r="A45"/>
    </row>
    <row r="46" spans="1:5">
      <c r="A46"/>
    </row>
    <row r="47" spans="1:5">
      <c r="A47"/>
    </row>
    <row r="48" spans="1:5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2:G70"/>
  <sheetViews>
    <sheetView workbookViewId="0">
      <selection activeCell="C65" sqref="C65"/>
    </sheetView>
  </sheetViews>
  <sheetFormatPr defaultRowHeight="13.5"/>
  <cols>
    <col min="6" max="7" width="9" style="1"/>
  </cols>
  <sheetData>
    <row r="2" spans="1:7">
      <c r="A2">
        <v>2021</v>
      </c>
      <c r="B2">
        <v>4</v>
      </c>
      <c r="C2">
        <v>20</v>
      </c>
      <c r="D2" s="2">
        <f>給料!M74</f>
        <v>0</v>
      </c>
      <c r="G2" s="1">
        <f>E2*F2</f>
        <v>0</v>
      </c>
    </row>
    <row r="3" spans="1:7">
      <c r="A3">
        <v>2021</v>
      </c>
      <c r="B3">
        <v>5</v>
      </c>
      <c r="C3">
        <v>19</v>
      </c>
      <c r="D3" s="2">
        <f>給料!M75</f>
        <v>0</v>
      </c>
      <c r="E3">
        <f>IF(D2=0,C2+E2,C2)</f>
        <v>20</v>
      </c>
      <c r="F3" s="1">
        <f t="shared" ref="F3:F11" si="0">IF(D3=0,F2,D3/E3)</f>
        <v>0</v>
      </c>
      <c r="G3" s="1">
        <f t="shared" ref="G3:G66" si="1">E3*F3</f>
        <v>0</v>
      </c>
    </row>
    <row r="4" spans="1:7">
      <c r="A4">
        <v>2021</v>
      </c>
      <c r="B4">
        <v>6</v>
      </c>
      <c r="C4">
        <v>24</v>
      </c>
      <c r="D4" s="2">
        <f>給料!M76</f>
        <v>0</v>
      </c>
      <c r="E4">
        <f>IF(D3=0,C3+E3,C3)</f>
        <v>39</v>
      </c>
      <c r="F4" s="1">
        <f t="shared" si="0"/>
        <v>0</v>
      </c>
      <c r="G4" s="1">
        <f t="shared" si="1"/>
        <v>0</v>
      </c>
    </row>
    <row r="5" spans="1:7">
      <c r="A5">
        <v>2021</v>
      </c>
      <c r="B5">
        <v>7</v>
      </c>
      <c r="C5">
        <v>0</v>
      </c>
      <c r="D5" s="2">
        <f>給料!M77</f>
        <v>0</v>
      </c>
      <c r="E5">
        <f t="shared" ref="E5:E34" si="2">IF(D4=0,C4+E4,C4)</f>
        <v>63</v>
      </c>
      <c r="F5" s="1">
        <f t="shared" si="0"/>
        <v>0</v>
      </c>
      <c r="G5" s="1">
        <f t="shared" si="1"/>
        <v>0</v>
      </c>
    </row>
    <row r="6" spans="1:7">
      <c r="A6">
        <v>2021</v>
      </c>
      <c r="B6">
        <v>8</v>
      </c>
      <c r="C6">
        <v>18</v>
      </c>
      <c r="D6" s="2">
        <f>給料!M78</f>
        <v>6300</v>
      </c>
      <c r="E6">
        <f>IF(D5=0,C5+E5,C5)</f>
        <v>63</v>
      </c>
      <c r="F6" s="1">
        <f t="shared" si="0"/>
        <v>100</v>
      </c>
      <c r="G6" s="1">
        <f t="shared" si="1"/>
        <v>6300</v>
      </c>
    </row>
    <row r="7" spans="1:7">
      <c r="A7">
        <v>2021</v>
      </c>
      <c r="B7">
        <v>9</v>
      </c>
      <c r="C7">
        <v>23</v>
      </c>
      <c r="D7" s="2">
        <f>給料!M79</f>
        <v>1800</v>
      </c>
      <c r="E7">
        <f t="shared" si="2"/>
        <v>18</v>
      </c>
      <c r="F7" s="1">
        <f t="shared" si="0"/>
        <v>100</v>
      </c>
      <c r="G7" s="1">
        <f t="shared" si="1"/>
        <v>1800</v>
      </c>
    </row>
    <row r="8" spans="1:7">
      <c r="A8">
        <v>2021</v>
      </c>
      <c r="B8">
        <v>10</v>
      </c>
      <c r="C8">
        <v>22</v>
      </c>
      <c r="D8" s="2">
        <f>給料!M80</f>
        <v>2300</v>
      </c>
      <c r="E8">
        <f t="shared" si="2"/>
        <v>23</v>
      </c>
      <c r="F8" s="1">
        <f t="shared" si="0"/>
        <v>100</v>
      </c>
      <c r="G8" s="1">
        <f t="shared" si="1"/>
        <v>2300</v>
      </c>
    </row>
    <row r="9" spans="1:7">
      <c r="A9">
        <v>2021</v>
      </c>
      <c r="B9">
        <v>11</v>
      </c>
      <c r="C9">
        <v>23</v>
      </c>
      <c r="D9" s="2">
        <f>給料!M81</f>
        <v>2200</v>
      </c>
      <c r="E9">
        <f t="shared" si="2"/>
        <v>22</v>
      </c>
      <c r="F9" s="1">
        <f t="shared" si="0"/>
        <v>100</v>
      </c>
      <c r="G9" s="1">
        <f t="shared" si="1"/>
        <v>2200</v>
      </c>
    </row>
    <row r="10" spans="1:7">
      <c r="A10">
        <v>2021</v>
      </c>
      <c r="B10">
        <v>12</v>
      </c>
      <c r="C10">
        <v>23</v>
      </c>
      <c r="D10" s="2">
        <f>給料!M82</f>
        <v>2300</v>
      </c>
      <c r="E10">
        <f t="shared" si="2"/>
        <v>23</v>
      </c>
      <c r="F10" s="1">
        <f t="shared" si="0"/>
        <v>100</v>
      </c>
      <c r="G10" s="1">
        <f t="shared" si="1"/>
        <v>2300</v>
      </c>
    </row>
    <row r="11" spans="1:7">
      <c r="A11">
        <v>2022</v>
      </c>
      <c r="B11">
        <v>1</v>
      </c>
      <c r="C11">
        <v>22</v>
      </c>
      <c r="D11" s="2">
        <f>給料!M83</f>
        <v>2300</v>
      </c>
      <c r="E11">
        <f t="shared" si="2"/>
        <v>23</v>
      </c>
      <c r="F11" s="1">
        <f t="shared" si="0"/>
        <v>100</v>
      </c>
      <c r="G11" s="1">
        <f t="shared" si="1"/>
        <v>2300</v>
      </c>
    </row>
    <row r="12" spans="1:7">
      <c r="A12">
        <v>2022</v>
      </c>
      <c r="B12">
        <v>2</v>
      </c>
      <c r="C12">
        <v>16</v>
      </c>
      <c r="D12" s="2">
        <f>給料!M84</f>
        <v>0</v>
      </c>
      <c r="E12">
        <f t="shared" si="2"/>
        <v>22</v>
      </c>
      <c r="F12" s="1">
        <f>IF(D12=0,F11,D12/E12)</f>
        <v>100</v>
      </c>
      <c r="G12" s="1">
        <f t="shared" si="1"/>
        <v>2200</v>
      </c>
    </row>
    <row r="13" spans="1:7">
      <c r="A13">
        <v>2022</v>
      </c>
      <c r="B13">
        <v>3</v>
      </c>
      <c r="C13">
        <v>24</v>
      </c>
      <c r="D13" s="2">
        <f>給料!M85</f>
        <v>3800</v>
      </c>
      <c r="E13">
        <f t="shared" si="2"/>
        <v>38</v>
      </c>
      <c r="F13" s="1">
        <f t="shared" ref="F13:F34" si="3">IF(D13=0,F12,D13/E13)</f>
        <v>100</v>
      </c>
      <c r="G13" s="1">
        <f t="shared" si="1"/>
        <v>3800</v>
      </c>
    </row>
    <row r="14" spans="1:7">
      <c r="A14">
        <f>A2+1</f>
        <v>2022</v>
      </c>
      <c r="B14">
        <f>B2</f>
        <v>4</v>
      </c>
      <c r="C14">
        <v>20</v>
      </c>
      <c r="D14" s="2">
        <f>給料!M86</f>
        <v>2400</v>
      </c>
      <c r="E14">
        <f t="shared" si="2"/>
        <v>24</v>
      </c>
      <c r="F14" s="1">
        <f t="shared" si="3"/>
        <v>100</v>
      </c>
      <c r="G14" s="1">
        <f t="shared" si="1"/>
        <v>2400</v>
      </c>
    </row>
    <row r="15" spans="1:7">
      <c r="A15">
        <f t="shared" ref="A15:A69" si="4">A3+1</f>
        <v>2022</v>
      </c>
      <c r="B15">
        <f t="shared" ref="B15:B69" si="5">B3</f>
        <v>5</v>
      </c>
      <c r="C15">
        <v>19</v>
      </c>
      <c r="D15" s="2">
        <f>給料!M87</f>
        <v>2000</v>
      </c>
      <c r="E15">
        <f t="shared" si="2"/>
        <v>20</v>
      </c>
      <c r="F15" s="1">
        <f t="shared" si="3"/>
        <v>100</v>
      </c>
      <c r="G15" s="1">
        <f t="shared" si="1"/>
        <v>2000</v>
      </c>
    </row>
    <row r="16" spans="1:7">
      <c r="A16">
        <f t="shared" si="4"/>
        <v>2022</v>
      </c>
      <c r="B16">
        <f t="shared" si="5"/>
        <v>6</v>
      </c>
      <c r="C16">
        <v>25</v>
      </c>
      <c r="D16" s="2">
        <f>給料!M88</f>
        <v>1900</v>
      </c>
      <c r="E16">
        <f t="shared" si="2"/>
        <v>19</v>
      </c>
      <c r="F16" s="1">
        <f t="shared" si="3"/>
        <v>100</v>
      </c>
      <c r="G16" s="1">
        <f t="shared" si="1"/>
        <v>1900</v>
      </c>
    </row>
    <row r="17" spans="1:7">
      <c r="A17">
        <f t="shared" si="4"/>
        <v>2022</v>
      </c>
      <c r="B17">
        <f t="shared" si="5"/>
        <v>7</v>
      </c>
      <c r="C17">
        <v>22</v>
      </c>
      <c r="D17" s="2">
        <f>給料!M89</f>
        <v>2500</v>
      </c>
      <c r="E17">
        <f t="shared" si="2"/>
        <v>25</v>
      </c>
      <c r="F17" s="1">
        <f t="shared" si="3"/>
        <v>100</v>
      </c>
      <c r="G17" s="1">
        <f t="shared" si="1"/>
        <v>2500</v>
      </c>
    </row>
    <row r="18" spans="1:7">
      <c r="A18">
        <f t="shared" si="4"/>
        <v>2022</v>
      </c>
      <c r="B18">
        <f t="shared" si="5"/>
        <v>8</v>
      </c>
      <c r="C18">
        <v>26</v>
      </c>
      <c r="D18" s="2">
        <f>給料!M90</f>
        <v>0</v>
      </c>
      <c r="E18">
        <f t="shared" si="2"/>
        <v>22</v>
      </c>
      <c r="F18" s="1">
        <f t="shared" si="3"/>
        <v>100</v>
      </c>
      <c r="G18" s="1">
        <f t="shared" si="1"/>
        <v>2200</v>
      </c>
    </row>
    <row r="19" spans="1:7">
      <c r="A19">
        <f t="shared" si="4"/>
        <v>2022</v>
      </c>
      <c r="B19">
        <f t="shared" si="5"/>
        <v>9</v>
      </c>
      <c r="C19">
        <v>19</v>
      </c>
      <c r="D19" s="2">
        <f>給料!M91</f>
        <v>4800</v>
      </c>
      <c r="E19">
        <f t="shared" si="2"/>
        <v>48</v>
      </c>
      <c r="F19" s="1">
        <f t="shared" si="3"/>
        <v>100</v>
      </c>
      <c r="G19" s="1">
        <f t="shared" si="1"/>
        <v>4800</v>
      </c>
    </row>
    <row r="20" spans="1:7">
      <c r="A20">
        <f t="shared" si="4"/>
        <v>2022</v>
      </c>
      <c r="B20">
        <f t="shared" si="5"/>
        <v>10</v>
      </c>
      <c r="C20">
        <v>20</v>
      </c>
      <c r="D20" s="2">
        <f>給料!M92</f>
        <v>0</v>
      </c>
      <c r="E20">
        <f t="shared" si="2"/>
        <v>19</v>
      </c>
      <c r="F20" s="1">
        <f t="shared" si="3"/>
        <v>100</v>
      </c>
      <c r="G20" s="1">
        <f t="shared" si="1"/>
        <v>1900</v>
      </c>
    </row>
    <row r="21" spans="1:7">
      <c r="A21">
        <f t="shared" si="4"/>
        <v>2022</v>
      </c>
      <c r="B21">
        <f t="shared" si="5"/>
        <v>11</v>
      </c>
      <c r="C21">
        <v>24</v>
      </c>
      <c r="D21" s="2">
        <f>給料!M93</f>
        <v>3900</v>
      </c>
      <c r="E21">
        <f t="shared" si="2"/>
        <v>39</v>
      </c>
      <c r="F21" s="1">
        <f t="shared" si="3"/>
        <v>100</v>
      </c>
      <c r="G21" s="1">
        <f t="shared" si="1"/>
        <v>3900</v>
      </c>
    </row>
    <row r="22" spans="1:7">
      <c r="A22">
        <f t="shared" si="4"/>
        <v>2022</v>
      </c>
      <c r="B22">
        <f t="shared" si="5"/>
        <v>12</v>
      </c>
      <c r="C22">
        <v>23</v>
      </c>
      <c r="D22" s="2">
        <f>給料!M94</f>
        <v>0</v>
      </c>
      <c r="E22">
        <f t="shared" si="2"/>
        <v>24</v>
      </c>
      <c r="F22" s="1">
        <f t="shared" si="3"/>
        <v>100</v>
      </c>
      <c r="G22" s="1">
        <f t="shared" si="1"/>
        <v>2400</v>
      </c>
    </row>
    <row r="23" spans="1:7">
      <c r="A23">
        <f t="shared" si="4"/>
        <v>2023</v>
      </c>
      <c r="B23">
        <f t="shared" si="5"/>
        <v>1</v>
      </c>
      <c r="C23">
        <v>23</v>
      </c>
      <c r="D23" s="2">
        <f>給料!M95</f>
        <v>4700</v>
      </c>
      <c r="E23">
        <f t="shared" si="2"/>
        <v>47</v>
      </c>
      <c r="F23" s="1">
        <f t="shared" si="3"/>
        <v>100</v>
      </c>
      <c r="G23" s="1">
        <f t="shared" si="1"/>
        <v>4700</v>
      </c>
    </row>
    <row r="24" spans="1:7">
      <c r="A24">
        <f t="shared" si="4"/>
        <v>2023</v>
      </c>
      <c r="B24">
        <f t="shared" si="5"/>
        <v>2</v>
      </c>
      <c r="C24">
        <v>23</v>
      </c>
      <c r="D24" s="2">
        <f>給料!M96</f>
        <v>2300</v>
      </c>
      <c r="E24">
        <f t="shared" si="2"/>
        <v>23</v>
      </c>
      <c r="F24" s="1">
        <f t="shared" si="3"/>
        <v>100</v>
      </c>
      <c r="G24" s="1">
        <f t="shared" si="1"/>
        <v>2300</v>
      </c>
    </row>
    <row r="25" spans="1:7">
      <c r="A25">
        <f t="shared" si="4"/>
        <v>2023</v>
      </c>
      <c r="B25">
        <f t="shared" si="5"/>
        <v>3</v>
      </c>
      <c r="C25">
        <v>24</v>
      </c>
      <c r="D25" s="2">
        <f>給料!M97</f>
        <v>2300</v>
      </c>
      <c r="E25">
        <f t="shared" si="2"/>
        <v>23</v>
      </c>
      <c r="F25" s="1">
        <f t="shared" si="3"/>
        <v>100</v>
      </c>
      <c r="G25" s="1">
        <f t="shared" si="1"/>
        <v>2300</v>
      </c>
    </row>
    <row r="26" spans="1:7">
      <c r="A26">
        <f t="shared" si="4"/>
        <v>2023</v>
      </c>
      <c r="B26">
        <f t="shared" si="5"/>
        <v>4</v>
      </c>
      <c r="C26">
        <v>20</v>
      </c>
      <c r="D26" s="2">
        <f>給料!M98</f>
        <v>2400</v>
      </c>
      <c r="E26">
        <f t="shared" si="2"/>
        <v>24</v>
      </c>
      <c r="F26" s="1">
        <f t="shared" si="3"/>
        <v>100</v>
      </c>
      <c r="G26" s="1">
        <f t="shared" si="1"/>
        <v>2400</v>
      </c>
    </row>
    <row r="27" spans="1:7">
      <c r="A27">
        <f t="shared" si="4"/>
        <v>2023</v>
      </c>
      <c r="B27">
        <f t="shared" si="5"/>
        <v>5</v>
      </c>
      <c r="C27">
        <v>18</v>
      </c>
      <c r="D27" s="2">
        <f>給料!M99</f>
        <v>2800</v>
      </c>
      <c r="E27">
        <f t="shared" si="2"/>
        <v>20</v>
      </c>
      <c r="F27" s="1">
        <f t="shared" si="3"/>
        <v>140</v>
      </c>
      <c r="G27" s="1">
        <f t="shared" si="1"/>
        <v>2800</v>
      </c>
    </row>
    <row r="28" spans="1:7">
      <c r="A28">
        <f t="shared" si="4"/>
        <v>2023</v>
      </c>
      <c r="B28">
        <f t="shared" si="5"/>
        <v>6</v>
      </c>
      <c r="C28">
        <v>23</v>
      </c>
      <c r="D28" s="2">
        <f>給料!M100</f>
        <v>0</v>
      </c>
      <c r="E28">
        <f t="shared" si="2"/>
        <v>18</v>
      </c>
      <c r="F28" s="1">
        <f t="shared" si="3"/>
        <v>140</v>
      </c>
      <c r="G28" s="1">
        <f t="shared" si="1"/>
        <v>2520</v>
      </c>
    </row>
    <row r="29" spans="1:7">
      <c r="A29">
        <f t="shared" si="4"/>
        <v>2023</v>
      </c>
      <c r="B29">
        <f t="shared" si="5"/>
        <v>7</v>
      </c>
      <c r="C29">
        <v>22</v>
      </c>
      <c r="D29" s="2">
        <f>給料!M101</f>
        <v>2520</v>
      </c>
      <c r="E29">
        <f>C27</f>
        <v>18</v>
      </c>
      <c r="F29" s="1">
        <f t="shared" si="3"/>
        <v>140</v>
      </c>
      <c r="G29" s="1">
        <f t="shared" si="1"/>
        <v>2520</v>
      </c>
    </row>
    <row r="30" spans="1:7">
      <c r="A30">
        <f t="shared" si="4"/>
        <v>2023</v>
      </c>
      <c r="B30">
        <f t="shared" si="5"/>
        <v>8</v>
      </c>
      <c r="C30">
        <v>25</v>
      </c>
      <c r="D30" s="2">
        <f>給料!M102</f>
        <v>6300</v>
      </c>
      <c r="E30">
        <f>C28+C29</f>
        <v>45</v>
      </c>
      <c r="F30" s="1">
        <f t="shared" si="3"/>
        <v>140</v>
      </c>
      <c r="G30" s="1">
        <f t="shared" si="1"/>
        <v>6300</v>
      </c>
    </row>
    <row r="31" spans="1:7">
      <c r="A31">
        <f t="shared" si="4"/>
        <v>2023</v>
      </c>
      <c r="B31">
        <f t="shared" si="5"/>
        <v>9</v>
      </c>
      <c r="C31">
        <v>22</v>
      </c>
      <c r="D31" s="2">
        <f>給料!M103</f>
        <v>3500</v>
      </c>
      <c r="E31">
        <f t="shared" si="2"/>
        <v>25</v>
      </c>
      <c r="F31" s="1">
        <f t="shared" si="3"/>
        <v>140</v>
      </c>
      <c r="G31" s="1">
        <f t="shared" si="1"/>
        <v>3500</v>
      </c>
    </row>
    <row r="32" spans="1:7">
      <c r="A32">
        <f t="shared" si="4"/>
        <v>2023</v>
      </c>
      <c r="B32">
        <f t="shared" si="5"/>
        <v>10</v>
      </c>
      <c r="C32">
        <v>20</v>
      </c>
      <c r="D32" s="2">
        <f>給料!M104</f>
        <v>3080</v>
      </c>
      <c r="E32">
        <f t="shared" si="2"/>
        <v>22</v>
      </c>
      <c r="F32" s="1">
        <f t="shared" si="3"/>
        <v>140</v>
      </c>
      <c r="G32" s="1">
        <f t="shared" si="1"/>
        <v>3080</v>
      </c>
    </row>
    <row r="33" spans="1:7">
      <c r="A33">
        <f t="shared" si="4"/>
        <v>2023</v>
      </c>
      <c r="B33">
        <f t="shared" si="5"/>
        <v>11</v>
      </c>
      <c r="C33">
        <v>22</v>
      </c>
      <c r="D33" s="2">
        <f>給料!M105</f>
        <v>2800</v>
      </c>
      <c r="E33">
        <f t="shared" si="2"/>
        <v>20</v>
      </c>
      <c r="F33" s="1">
        <f t="shared" si="3"/>
        <v>140</v>
      </c>
      <c r="G33" s="1">
        <f t="shared" si="1"/>
        <v>2800</v>
      </c>
    </row>
    <row r="34" spans="1:7">
      <c r="A34">
        <f t="shared" si="4"/>
        <v>2023</v>
      </c>
      <c r="B34">
        <f t="shared" si="5"/>
        <v>12</v>
      </c>
      <c r="C34">
        <v>22</v>
      </c>
      <c r="D34" s="2">
        <f>給料!M106</f>
        <v>3080</v>
      </c>
      <c r="E34">
        <f t="shared" si="2"/>
        <v>22</v>
      </c>
      <c r="F34" s="1">
        <f t="shared" si="3"/>
        <v>140</v>
      </c>
      <c r="G34" s="1">
        <f t="shared" si="1"/>
        <v>3080</v>
      </c>
    </row>
    <row r="35" spans="1:7">
      <c r="A35">
        <f t="shared" si="4"/>
        <v>2024</v>
      </c>
      <c r="B35">
        <f t="shared" si="5"/>
        <v>1</v>
      </c>
      <c r="C35">
        <v>21</v>
      </c>
      <c r="D35" s="2">
        <f>給料!M107</f>
        <v>3080</v>
      </c>
      <c r="E35">
        <f t="shared" ref="E35:E70" si="6">IF(D34=0,C34+E34,C34)</f>
        <v>22</v>
      </c>
      <c r="F35" s="1">
        <f t="shared" ref="F35:F58" si="7">IF(D35=0,F34,D35/E35)</f>
        <v>140</v>
      </c>
      <c r="G35" s="1">
        <f t="shared" si="1"/>
        <v>3080</v>
      </c>
    </row>
    <row r="36" spans="1:7">
      <c r="A36">
        <f t="shared" si="4"/>
        <v>2024</v>
      </c>
      <c r="B36">
        <f t="shared" si="5"/>
        <v>2</v>
      </c>
      <c r="C36">
        <v>23</v>
      </c>
      <c r="D36" s="2">
        <f>給料!M108</f>
        <v>2940</v>
      </c>
      <c r="E36">
        <f t="shared" si="6"/>
        <v>21</v>
      </c>
      <c r="F36" s="1">
        <f t="shared" si="7"/>
        <v>140</v>
      </c>
      <c r="G36" s="1">
        <f t="shared" si="1"/>
        <v>2940</v>
      </c>
    </row>
    <row r="37" spans="1:7">
      <c r="A37">
        <f t="shared" si="4"/>
        <v>2024</v>
      </c>
      <c r="B37">
        <f t="shared" si="5"/>
        <v>3</v>
      </c>
      <c r="C37">
        <v>21</v>
      </c>
      <c r="D37" s="2">
        <f>給料!M109</f>
        <v>3220</v>
      </c>
      <c r="E37">
        <f t="shared" si="6"/>
        <v>23</v>
      </c>
      <c r="F37" s="1">
        <f t="shared" si="7"/>
        <v>140</v>
      </c>
      <c r="G37" s="1">
        <f t="shared" si="1"/>
        <v>3220</v>
      </c>
    </row>
    <row r="38" spans="1:7">
      <c r="A38">
        <f t="shared" si="4"/>
        <v>2024</v>
      </c>
      <c r="B38">
        <f t="shared" si="5"/>
        <v>4</v>
      </c>
      <c r="C38">
        <v>22</v>
      </c>
      <c r="D38" s="2">
        <f>給料!M110</f>
        <v>0</v>
      </c>
      <c r="E38">
        <f t="shared" si="6"/>
        <v>21</v>
      </c>
      <c r="F38" s="1">
        <f t="shared" si="7"/>
        <v>140</v>
      </c>
      <c r="G38" s="1">
        <f t="shared" si="1"/>
        <v>2940</v>
      </c>
    </row>
    <row r="39" spans="1:7">
      <c r="A39">
        <f t="shared" si="4"/>
        <v>2024</v>
      </c>
      <c r="B39">
        <f t="shared" si="5"/>
        <v>5</v>
      </c>
      <c r="C39">
        <v>21</v>
      </c>
      <c r="D39" s="2">
        <f>給料!M111</f>
        <v>6020</v>
      </c>
      <c r="E39">
        <f>IF(D38=0,C38+E38,C38)</f>
        <v>43</v>
      </c>
      <c r="F39" s="1">
        <f>IF(D39=0,F38,D39/E39)</f>
        <v>140</v>
      </c>
      <c r="G39" s="1">
        <f t="shared" si="1"/>
        <v>6020</v>
      </c>
    </row>
    <row r="40" spans="1:7">
      <c r="A40">
        <f t="shared" si="4"/>
        <v>2024</v>
      </c>
      <c r="B40">
        <f t="shared" si="5"/>
        <v>6</v>
      </c>
      <c r="C40">
        <v>18</v>
      </c>
      <c r="D40" s="2">
        <f>給料!M112</f>
        <v>2940</v>
      </c>
      <c r="E40">
        <f t="shared" si="6"/>
        <v>21</v>
      </c>
      <c r="F40" s="1">
        <f t="shared" si="7"/>
        <v>140</v>
      </c>
      <c r="G40" s="1">
        <f t="shared" si="1"/>
        <v>2940</v>
      </c>
    </row>
    <row r="41" spans="1:7">
      <c r="A41">
        <f t="shared" si="4"/>
        <v>2024</v>
      </c>
      <c r="B41">
        <f t="shared" si="5"/>
        <v>7</v>
      </c>
      <c r="C41">
        <v>22</v>
      </c>
      <c r="D41" s="2">
        <f>給料!M113</f>
        <v>2520</v>
      </c>
      <c r="E41">
        <f t="shared" si="6"/>
        <v>18</v>
      </c>
      <c r="F41" s="1">
        <f t="shared" si="7"/>
        <v>140</v>
      </c>
      <c r="G41" s="1">
        <f t="shared" si="1"/>
        <v>2520</v>
      </c>
    </row>
    <row r="42" spans="1:7">
      <c r="A42">
        <f t="shared" si="4"/>
        <v>2024</v>
      </c>
      <c r="B42">
        <f t="shared" si="5"/>
        <v>8</v>
      </c>
      <c r="C42">
        <v>22</v>
      </c>
      <c r="D42" s="2">
        <f>給料!M114</f>
        <v>3080</v>
      </c>
      <c r="E42">
        <f t="shared" si="6"/>
        <v>22</v>
      </c>
      <c r="F42" s="1">
        <f t="shared" si="7"/>
        <v>140</v>
      </c>
      <c r="G42" s="1">
        <f t="shared" si="1"/>
        <v>3080</v>
      </c>
    </row>
    <row r="43" spans="1:7">
      <c r="A43">
        <f t="shared" si="4"/>
        <v>2024</v>
      </c>
      <c r="B43">
        <f t="shared" si="5"/>
        <v>9</v>
      </c>
      <c r="C43">
        <v>16</v>
      </c>
      <c r="D43" s="2">
        <f>給料!M115</f>
        <v>3080</v>
      </c>
      <c r="E43">
        <f t="shared" si="6"/>
        <v>22</v>
      </c>
      <c r="F43" s="1">
        <f t="shared" si="7"/>
        <v>140</v>
      </c>
      <c r="G43" s="1">
        <f t="shared" si="1"/>
        <v>3080</v>
      </c>
    </row>
    <row r="44" spans="1:7">
      <c r="A44">
        <f t="shared" si="4"/>
        <v>2024</v>
      </c>
      <c r="B44">
        <f t="shared" si="5"/>
        <v>10</v>
      </c>
      <c r="C44">
        <v>21</v>
      </c>
      <c r="D44" s="2">
        <f>給料!M116</f>
        <v>2240</v>
      </c>
      <c r="E44">
        <f t="shared" si="6"/>
        <v>16</v>
      </c>
      <c r="F44" s="1">
        <f t="shared" si="7"/>
        <v>140</v>
      </c>
      <c r="G44" s="1">
        <f t="shared" si="1"/>
        <v>2240</v>
      </c>
    </row>
    <row r="45" spans="1:7">
      <c r="A45">
        <f t="shared" si="4"/>
        <v>2024</v>
      </c>
      <c r="B45">
        <f t="shared" si="5"/>
        <v>11</v>
      </c>
      <c r="C45">
        <v>21</v>
      </c>
      <c r="D45" s="2">
        <f>給料!M117</f>
        <v>0</v>
      </c>
      <c r="E45">
        <f t="shared" si="6"/>
        <v>21</v>
      </c>
      <c r="F45" s="1">
        <f t="shared" si="7"/>
        <v>140</v>
      </c>
      <c r="G45" s="1">
        <f t="shared" si="1"/>
        <v>2940</v>
      </c>
    </row>
    <row r="46" spans="1:7">
      <c r="A46">
        <f>A34+1</f>
        <v>2024</v>
      </c>
      <c r="B46">
        <f>B34</f>
        <v>12</v>
      </c>
      <c r="C46">
        <v>21</v>
      </c>
      <c r="D46" s="2">
        <f>給料!M118</f>
        <v>6300</v>
      </c>
      <c r="E46">
        <f t="shared" si="6"/>
        <v>42</v>
      </c>
      <c r="F46" s="1">
        <f t="shared" si="7"/>
        <v>150</v>
      </c>
      <c r="G46" s="1">
        <f t="shared" si="1"/>
        <v>6300</v>
      </c>
    </row>
    <row r="47" spans="1:7">
      <c r="A47">
        <f t="shared" si="4"/>
        <v>2025</v>
      </c>
      <c r="B47">
        <f t="shared" si="5"/>
        <v>1</v>
      </c>
      <c r="C47">
        <v>19</v>
      </c>
      <c r="D47" s="2">
        <f>給料!M119</f>
        <v>3150</v>
      </c>
      <c r="E47">
        <f t="shared" si="6"/>
        <v>21</v>
      </c>
      <c r="F47" s="1">
        <f t="shared" si="7"/>
        <v>150</v>
      </c>
      <c r="G47" s="1">
        <f t="shared" si="1"/>
        <v>3150</v>
      </c>
    </row>
    <row r="48" spans="1:7">
      <c r="A48">
        <f t="shared" si="4"/>
        <v>2025</v>
      </c>
      <c r="B48">
        <f t="shared" si="5"/>
        <v>2</v>
      </c>
      <c r="C48">
        <v>19</v>
      </c>
      <c r="D48" s="2">
        <f>給料!M120</f>
        <v>2850</v>
      </c>
      <c r="E48">
        <f t="shared" si="6"/>
        <v>19</v>
      </c>
      <c r="F48" s="1">
        <f t="shared" si="7"/>
        <v>150</v>
      </c>
      <c r="G48" s="1">
        <f t="shared" si="1"/>
        <v>2850</v>
      </c>
    </row>
    <row r="49" spans="1:7">
      <c r="A49">
        <f t="shared" si="4"/>
        <v>2025</v>
      </c>
      <c r="B49">
        <f t="shared" si="5"/>
        <v>3</v>
      </c>
      <c r="C49">
        <v>22</v>
      </c>
      <c r="D49" s="2">
        <f>給料!M121</f>
        <v>2850</v>
      </c>
      <c r="E49">
        <f t="shared" si="6"/>
        <v>19</v>
      </c>
      <c r="F49" s="1">
        <f t="shared" si="7"/>
        <v>150</v>
      </c>
      <c r="G49" s="1">
        <f t="shared" si="1"/>
        <v>2850</v>
      </c>
    </row>
    <row r="50" spans="1:7">
      <c r="A50">
        <f t="shared" si="4"/>
        <v>2025</v>
      </c>
      <c r="B50">
        <f t="shared" si="5"/>
        <v>4</v>
      </c>
      <c r="C50">
        <v>20</v>
      </c>
      <c r="D50" s="2">
        <f>給料!M122</f>
        <v>0</v>
      </c>
      <c r="E50">
        <f t="shared" si="6"/>
        <v>22</v>
      </c>
      <c r="F50" s="1">
        <f t="shared" si="7"/>
        <v>150</v>
      </c>
      <c r="G50" s="1">
        <f t="shared" si="1"/>
        <v>3300</v>
      </c>
    </row>
    <row r="51" spans="1:7">
      <c r="A51">
        <f t="shared" si="4"/>
        <v>2025</v>
      </c>
      <c r="B51">
        <f t="shared" si="5"/>
        <v>5</v>
      </c>
      <c r="C51">
        <v>18</v>
      </c>
      <c r="D51" s="2">
        <f>給料!M123</f>
        <v>3300</v>
      </c>
      <c r="E51">
        <f>C49</f>
        <v>22</v>
      </c>
      <c r="F51" s="1">
        <f t="shared" si="7"/>
        <v>150</v>
      </c>
      <c r="G51" s="1">
        <f t="shared" si="1"/>
        <v>3300</v>
      </c>
    </row>
    <row r="52" spans="1:7">
      <c r="A52">
        <f t="shared" si="4"/>
        <v>2025</v>
      </c>
      <c r="B52">
        <f t="shared" si="5"/>
        <v>6</v>
      </c>
      <c r="C52">
        <v>21</v>
      </c>
      <c r="D52" s="2">
        <f>給料!M124</f>
        <v>5320</v>
      </c>
      <c r="E52">
        <f>SUM(C50:C51)</f>
        <v>38</v>
      </c>
      <c r="F52" s="1">
        <f t="shared" si="7"/>
        <v>140</v>
      </c>
      <c r="G52" s="1">
        <f t="shared" si="1"/>
        <v>5320</v>
      </c>
    </row>
    <row r="53" spans="1:7">
      <c r="A53">
        <f t="shared" si="4"/>
        <v>2025</v>
      </c>
      <c r="B53">
        <f t="shared" si="5"/>
        <v>7</v>
      </c>
      <c r="C53">
        <v>22</v>
      </c>
      <c r="D53" s="2">
        <f>給料!M125</f>
        <v>0</v>
      </c>
      <c r="E53">
        <f>C52</f>
        <v>21</v>
      </c>
      <c r="F53" s="1">
        <f t="shared" si="7"/>
        <v>140</v>
      </c>
      <c r="G53" s="1">
        <f t="shared" si="1"/>
        <v>2940</v>
      </c>
    </row>
    <row r="54" spans="1:7">
      <c r="A54">
        <f t="shared" si="4"/>
        <v>2025</v>
      </c>
      <c r="B54">
        <f t="shared" si="5"/>
        <v>8</v>
      </c>
      <c r="C54">
        <v>19</v>
      </c>
      <c r="D54" s="2">
        <f>給料!M126</f>
        <v>2940</v>
      </c>
      <c r="E54">
        <f>C52</f>
        <v>21</v>
      </c>
      <c r="F54" s="1">
        <f t="shared" si="7"/>
        <v>140</v>
      </c>
      <c r="G54" s="1">
        <f t="shared" si="1"/>
        <v>2940</v>
      </c>
    </row>
    <row r="55" spans="1:7">
      <c r="A55">
        <f t="shared" si="4"/>
        <v>2025</v>
      </c>
      <c r="B55">
        <f t="shared" si="5"/>
        <v>9</v>
      </c>
      <c r="C55">
        <v>19</v>
      </c>
      <c r="D55" s="2">
        <f>給料!M127</f>
        <v>3080</v>
      </c>
      <c r="E55">
        <f>C53</f>
        <v>22</v>
      </c>
      <c r="F55" s="1">
        <f t="shared" si="7"/>
        <v>140</v>
      </c>
      <c r="G55" s="1">
        <f t="shared" si="1"/>
        <v>3080</v>
      </c>
    </row>
    <row r="56" spans="1:7">
      <c r="A56">
        <f t="shared" si="4"/>
        <v>2025</v>
      </c>
      <c r="B56">
        <f t="shared" si="5"/>
        <v>10</v>
      </c>
      <c r="C56">
        <v>21</v>
      </c>
      <c r="D56" s="2">
        <f>給料!M128</f>
        <v>2660</v>
      </c>
      <c r="E56">
        <f>C54</f>
        <v>19</v>
      </c>
      <c r="F56" s="1">
        <f t="shared" si="7"/>
        <v>140</v>
      </c>
      <c r="G56" s="1">
        <f t="shared" si="1"/>
        <v>2660</v>
      </c>
    </row>
    <row r="57" spans="1:7">
      <c r="A57">
        <f t="shared" si="4"/>
        <v>2025</v>
      </c>
      <c r="B57">
        <f t="shared" si="5"/>
        <v>11</v>
      </c>
      <c r="C57">
        <v>17</v>
      </c>
      <c r="D57" s="2">
        <f>給料!M129</f>
        <v>5600</v>
      </c>
      <c r="E57">
        <f>SUM(C55:C56)</f>
        <v>40</v>
      </c>
      <c r="F57" s="1">
        <f t="shared" si="7"/>
        <v>140</v>
      </c>
      <c r="G57" s="1">
        <f t="shared" si="1"/>
        <v>5600</v>
      </c>
    </row>
    <row r="58" spans="1:7">
      <c r="A58">
        <f t="shared" si="4"/>
        <v>2025</v>
      </c>
      <c r="B58">
        <f t="shared" si="5"/>
        <v>12</v>
      </c>
      <c r="C58">
        <v>20</v>
      </c>
      <c r="D58" s="2">
        <f>給料!M130</f>
        <v>2380</v>
      </c>
      <c r="E58">
        <f t="shared" si="6"/>
        <v>17</v>
      </c>
      <c r="F58" s="1">
        <f t="shared" si="7"/>
        <v>140</v>
      </c>
      <c r="G58" s="1">
        <f t="shared" si="1"/>
        <v>2380</v>
      </c>
    </row>
    <row r="59" spans="1:7">
      <c r="A59">
        <f t="shared" si="4"/>
        <v>2026</v>
      </c>
      <c r="B59">
        <f t="shared" si="5"/>
        <v>1</v>
      </c>
      <c r="C59">
        <v>20</v>
      </c>
      <c r="D59" s="2">
        <f>給料!M131</f>
        <v>2800</v>
      </c>
      <c r="E59">
        <f t="shared" si="6"/>
        <v>20</v>
      </c>
      <c r="F59" s="1">
        <f t="shared" ref="F59:F70" si="8">IF(D59=0,F58,D59/E59)</f>
        <v>140</v>
      </c>
      <c r="G59" s="1">
        <f t="shared" si="1"/>
        <v>2800</v>
      </c>
    </row>
    <row r="60" spans="1:7">
      <c r="A60">
        <f t="shared" si="4"/>
        <v>2026</v>
      </c>
      <c r="B60">
        <f t="shared" si="5"/>
        <v>2</v>
      </c>
      <c r="C60">
        <v>18</v>
      </c>
      <c r="D60" s="2">
        <f>給料!M132</f>
        <v>2800</v>
      </c>
      <c r="E60">
        <f>IF(D59=0,C59+E59,C59)</f>
        <v>20</v>
      </c>
      <c r="F60" s="1">
        <f t="shared" si="8"/>
        <v>140</v>
      </c>
      <c r="G60" s="1">
        <f t="shared" si="1"/>
        <v>2800</v>
      </c>
    </row>
    <row r="61" spans="1:7">
      <c r="A61">
        <f t="shared" si="4"/>
        <v>2026</v>
      </c>
      <c r="B61">
        <f t="shared" si="5"/>
        <v>3</v>
      </c>
      <c r="C61">
        <v>17</v>
      </c>
      <c r="D61" s="2">
        <f>給料!M133</f>
        <v>2520</v>
      </c>
      <c r="E61">
        <f>IF(D60=0,C60+E60,C60)</f>
        <v>18</v>
      </c>
      <c r="F61" s="1">
        <f t="shared" si="8"/>
        <v>140</v>
      </c>
      <c r="G61" s="1">
        <f t="shared" si="1"/>
        <v>2520</v>
      </c>
    </row>
    <row r="62" spans="1:7">
      <c r="A62">
        <f t="shared" si="4"/>
        <v>2026</v>
      </c>
      <c r="B62">
        <f t="shared" si="5"/>
        <v>4</v>
      </c>
      <c r="C62">
        <v>20</v>
      </c>
      <c r="D62" s="2">
        <f>給料!M134</f>
        <v>0</v>
      </c>
      <c r="E62">
        <f t="shared" si="6"/>
        <v>17</v>
      </c>
      <c r="F62" s="1">
        <f t="shared" si="8"/>
        <v>140</v>
      </c>
      <c r="G62" s="1">
        <f t="shared" si="1"/>
        <v>2380</v>
      </c>
    </row>
    <row r="63" spans="1:7">
      <c r="A63">
        <f t="shared" si="4"/>
        <v>2026</v>
      </c>
      <c r="B63">
        <f t="shared" si="5"/>
        <v>5</v>
      </c>
      <c r="C63">
        <v>16</v>
      </c>
      <c r="D63" s="2">
        <f>給料!M135</f>
        <v>5180</v>
      </c>
      <c r="E63">
        <f t="shared" si="6"/>
        <v>37</v>
      </c>
      <c r="F63" s="1">
        <f t="shared" si="8"/>
        <v>140</v>
      </c>
      <c r="G63" s="1">
        <f t="shared" si="1"/>
        <v>5180</v>
      </c>
    </row>
    <row r="64" spans="1:7">
      <c r="A64">
        <f t="shared" si="4"/>
        <v>2026</v>
      </c>
      <c r="B64">
        <f t="shared" si="5"/>
        <v>6</v>
      </c>
      <c r="C64">
        <v>18</v>
      </c>
      <c r="D64" s="2">
        <f>給料!M136</f>
        <v>2240</v>
      </c>
      <c r="E64">
        <f>IF(D63=0,C63+E63,C63)</f>
        <v>16</v>
      </c>
      <c r="F64" s="1">
        <f>IF(D64=0,F63,D64/E64)</f>
        <v>140</v>
      </c>
      <c r="G64" s="1">
        <f t="shared" si="1"/>
        <v>2240</v>
      </c>
    </row>
    <row r="65" spans="1:7">
      <c r="A65">
        <f t="shared" si="4"/>
        <v>2026</v>
      </c>
      <c r="B65">
        <f t="shared" si="5"/>
        <v>7</v>
      </c>
      <c r="D65" s="2">
        <f>給料!M137</f>
        <v>0</v>
      </c>
      <c r="E65">
        <f t="shared" si="6"/>
        <v>18</v>
      </c>
      <c r="F65" s="1">
        <f t="shared" si="8"/>
        <v>140</v>
      </c>
      <c r="G65" s="1">
        <f t="shared" si="1"/>
        <v>2520</v>
      </c>
    </row>
    <row r="66" spans="1:7">
      <c r="A66">
        <f t="shared" si="4"/>
        <v>2026</v>
      </c>
      <c r="B66">
        <f t="shared" si="5"/>
        <v>8</v>
      </c>
      <c r="D66" s="2">
        <f>給料!M138</f>
        <v>0</v>
      </c>
      <c r="E66">
        <f t="shared" si="6"/>
        <v>18</v>
      </c>
      <c r="F66" s="1">
        <f t="shared" si="8"/>
        <v>140</v>
      </c>
      <c r="G66" s="1">
        <f t="shared" si="1"/>
        <v>2520</v>
      </c>
    </row>
    <row r="67" spans="1:7">
      <c r="A67">
        <f t="shared" si="4"/>
        <v>2026</v>
      </c>
      <c r="B67">
        <f t="shared" si="5"/>
        <v>9</v>
      </c>
      <c r="D67" s="2">
        <f>給料!M139</f>
        <v>0</v>
      </c>
      <c r="E67">
        <f t="shared" si="6"/>
        <v>18</v>
      </c>
      <c r="F67" s="1">
        <f t="shared" si="8"/>
        <v>140</v>
      </c>
      <c r="G67" s="1">
        <f t="shared" ref="G67:G70" si="9">E67*F67</f>
        <v>2520</v>
      </c>
    </row>
    <row r="68" spans="1:7">
      <c r="A68">
        <f t="shared" si="4"/>
        <v>2026</v>
      </c>
      <c r="B68">
        <f t="shared" si="5"/>
        <v>10</v>
      </c>
      <c r="D68" s="2">
        <f>給料!M140</f>
        <v>0</v>
      </c>
      <c r="E68">
        <f t="shared" si="6"/>
        <v>18</v>
      </c>
      <c r="F68" s="1">
        <f t="shared" si="8"/>
        <v>140</v>
      </c>
      <c r="G68" s="1">
        <f t="shared" si="9"/>
        <v>2520</v>
      </c>
    </row>
    <row r="69" spans="1:7">
      <c r="A69">
        <f t="shared" si="4"/>
        <v>2026</v>
      </c>
      <c r="B69">
        <f t="shared" si="5"/>
        <v>11</v>
      </c>
      <c r="D69" s="2">
        <f>給料!M141</f>
        <v>0</v>
      </c>
      <c r="E69">
        <f t="shared" si="6"/>
        <v>18</v>
      </c>
      <c r="F69" s="1">
        <f t="shared" si="8"/>
        <v>140</v>
      </c>
      <c r="G69" s="1">
        <f t="shared" si="9"/>
        <v>2520</v>
      </c>
    </row>
    <row r="70" spans="1:7">
      <c r="A70">
        <f>A58+1</f>
        <v>2026</v>
      </c>
      <c r="B70">
        <f>B58</f>
        <v>12</v>
      </c>
      <c r="D70" s="2">
        <f>給料!M142</f>
        <v>0</v>
      </c>
      <c r="E70">
        <f t="shared" si="6"/>
        <v>18</v>
      </c>
      <c r="F70" s="1">
        <f t="shared" si="8"/>
        <v>140</v>
      </c>
      <c r="G70" s="1">
        <f t="shared" si="9"/>
        <v>2520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>
      <selection activeCell="F2" sqref="F2:F11"/>
    </sheetView>
  </sheetViews>
  <sheetFormatPr defaultRowHeight="13.5"/>
  <cols>
    <col min="1" max="1" width="11.625" bestFit="1" customWidth="1"/>
    <col min="2" max="6" width="11.625" customWidth="1"/>
    <col min="7" max="11" width="9" style="1"/>
  </cols>
  <sheetData>
    <row r="1" spans="1:11">
      <c r="E1" t="s">
        <v>128</v>
      </c>
      <c r="F1" t="s">
        <v>129</v>
      </c>
      <c r="G1" s="1" t="s">
        <v>125</v>
      </c>
      <c r="H1" s="1" t="s">
        <v>123</v>
      </c>
      <c r="I1" s="1" t="s">
        <v>132</v>
      </c>
      <c r="J1" s="1" t="s">
        <v>124</v>
      </c>
      <c r="K1" s="1" t="s">
        <v>133</v>
      </c>
    </row>
    <row r="2" spans="1:11">
      <c r="A2" s="7">
        <v>44862</v>
      </c>
      <c r="B2" s="7" t="s">
        <v>130</v>
      </c>
      <c r="C2" t="s">
        <v>127</v>
      </c>
      <c r="D2" s="7" t="s">
        <v>126</v>
      </c>
      <c r="E2" s="1">
        <f t="shared" ref="E2" si="0">SUM(G2:K2)</f>
        <v>14689</v>
      </c>
      <c r="F2" s="1">
        <f t="shared" ref="F2" si="1">SUM(G2:K2)-J2-K2</f>
        <v>2800</v>
      </c>
      <c r="G2" s="1">
        <f>150+150</f>
        <v>300</v>
      </c>
      <c r="H2" s="1">
        <v>2500</v>
      </c>
      <c r="I2" s="1">
        <v>0</v>
      </c>
      <c r="J2" s="1">
        <f>5949+5940</f>
        <v>11889</v>
      </c>
      <c r="K2" s="1">
        <v>0</v>
      </c>
    </row>
    <row r="3" spans="1:11">
      <c r="A3" s="7">
        <v>44875</v>
      </c>
      <c r="B3" s="7" t="s">
        <v>134</v>
      </c>
      <c r="C3" t="s">
        <v>127</v>
      </c>
      <c r="E3" s="1">
        <f>SUM(G3:K3)</f>
        <v>300</v>
      </c>
      <c r="F3" s="1">
        <f>SUM(G3:K3)-J3-K3</f>
        <v>300</v>
      </c>
      <c r="G3" s="1">
        <f>150+150</f>
        <v>300</v>
      </c>
      <c r="H3" s="1">
        <v>0</v>
      </c>
      <c r="I3" s="1">
        <v>0</v>
      </c>
      <c r="J3" s="1">
        <v>0</v>
      </c>
      <c r="K3" s="1">
        <v>0</v>
      </c>
    </row>
    <row r="4" spans="1:11">
      <c r="A4" s="7">
        <v>44914</v>
      </c>
      <c r="B4" s="7" t="s">
        <v>130</v>
      </c>
      <c r="C4" t="s">
        <v>127</v>
      </c>
      <c r="D4" t="s">
        <v>131</v>
      </c>
      <c r="E4" s="1">
        <f t="shared" ref="E4:E5" si="2">SUM(G4:K4)</f>
        <v>26080</v>
      </c>
      <c r="F4" s="1">
        <f t="shared" ref="F4:F5" si="3">SUM(G4:K4)-J4-K4</f>
        <v>3950</v>
      </c>
      <c r="G4" s="1">
        <v>150</v>
      </c>
      <c r="H4" s="1">
        <v>1000</v>
      </c>
      <c r="I4" s="1">
        <v>2800</v>
      </c>
      <c r="J4" s="1">
        <v>15330</v>
      </c>
      <c r="K4" s="1">
        <v>6800</v>
      </c>
    </row>
    <row r="5" spans="1:11">
      <c r="A5" s="7">
        <v>44915</v>
      </c>
      <c r="B5" s="7" t="s">
        <v>130</v>
      </c>
      <c r="C5" t="s">
        <v>127</v>
      </c>
      <c r="D5" t="s">
        <v>131</v>
      </c>
      <c r="E5" s="1">
        <f t="shared" si="2"/>
        <v>16480</v>
      </c>
      <c r="F5" s="1">
        <f t="shared" si="3"/>
        <v>1150</v>
      </c>
      <c r="G5" s="1">
        <v>150</v>
      </c>
      <c r="H5" s="1">
        <f>1000</f>
        <v>1000</v>
      </c>
      <c r="I5" s="1">
        <v>0</v>
      </c>
      <c r="J5" s="1">
        <v>15330</v>
      </c>
      <c r="K5" s="1">
        <v>0</v>
      </c>
    </row>
    <row r="6" spans="1:11">
      <c r="A6" s="7">
        <v>44918</v>
      </c>
      <c r="B6" s="7" t="s">
        <v>130</v>
      </c>
      <c r="C6" t="s">
        <v>127</v>
      </c>
      <c r="D6" t="s">
        <v>126</v>
      </c>
      <c r="E6" s="1">
        <f t="shared" ref="E6:E41" si="4">SUM(G6:K6)</f>
        <v>14680</v>
      </c>
      <c r="F6" s="1">
        <f t="shared" ref="F6:F41" si="5">SUM(G6:K6)-J6-K6</f>
        <v>2800</v>
      </c>
      <c r="G6" s="1">
        <f>150+150</f>
        <v>300</v>
      </c>
      <c r="H6" s="1">
        <v>2500</v>
      </c>
      <c r="I6" s="1">
        <v>0</v>
      </c>
      <c r="J6" s="1">
        <f>5940+5940</f>
        <v>11880</v>
      </c>
      <c r="K6" s="1">
        <v>0</v>
      </c>
    </row>
    <row r="7" spans="1:11">
      <c r="A7" s="7">
        <v>44923</v>
      </c>
      <c r="B7" s="7" t="s">
        <v>134</v>
      </c>
      <c r="C7" t="s">
        <v>127</v>
      </c>
      <c r="E7" s="1">
        <f t="shared" si="4"/>
        <v>300</v>
      </c>
      <c r="F7" s="1">
        <f t="shared" si="5"/>
        <v>300</v>
      </c>
      <c r="G7" s="1">
        <f>150+150</f>
        <v>300</v>
      </c>
      <c r="H7" s="1">
        <v>0</v>
      </c>
      <c r="I7" s="1">
        <v>0</v>
      </c>
      <c r="J7" s="1">
        <v>0</v>
      </c>
      <c r="K7" s="1">
        <v>0</v>
      </c>
    </row>
    <row r="8" spans="1:11">
      <c r="A8" s="7">
        <v>44979</v>
      </c>
      <c r="B8" s="7" t="s">
        <v>130</v>
      </c>
      <c r="C8" t="s">
        <v>127</v>
      </c>
      <c r="D8" t="s">
        <v>135</v>
      </c>
      <c r="E8" s="1">
        <f t="shared" si="4"/>
        <v>14616</v>
      </c>
      <c r="F8" s="1">
        <f t="shared" si="5"/>
        <v>3136</v>
      </c>
      <c r="G8" s="1">
        <f>150+168+168+150</f>
        <v>636</v>
      </c>
      <c r="H8" s="1">
        <v>2500</v>
      </c>
      <c r="I8" s="1">
        <v>0</v>
      </c>
      <c r="J8" s="1">
        <f>5740+5740</f>
        <v>11480</v>
      </c>
      <c r="K8" s="1">
        <v>0</v>
      </c>
    </row>
    <row r="9" spans="1:11">
      <c r="A9" s="7">
        <v>45002</v>
      </c>
      <c r="B9" s="7" t="s">
        <v>130</v>
      </c>
      <c r="C9" t="s">
        <v>127</v>
      </c>
      <c r="D9" t="s">
        <v>126</v>
      </c>
      <c r="E9" s="1">
        <f t="shared" si="4"/>
        <v>16600</v>
      </c>
      <c r="F9" s="1">
        <f t="shared" si="5"/>
        <v>4720</v>
      </c>
      <c r="G9" s="1">
        <f>1110+1110</f>
        <v>2220</v>
      </c>
      <c r="H9" s="1">
        <v>2500</v>
      </c>
      <c r="I9" s="1">
        <v>0</v>
      </c>
      <c r="J9" s="1">
        <f>5940+5940</f>
        <v>11880</v>
      </c>
      <c r="K9" s="1">
        <v>0</v>
      </c>
    </row>
    <row r="10" spans="1:11">
      <c r="A10" s="7">
        <v>45014</v>
      </c>
      <c r="B10" s="7" t="s">
        <v>130</v>
      </c>
      <c r="C10" t="s">
        <v>127</v>
      </c>
      <c r="D10" t="s">
        <v>126</v>
      </c>
      <c r="E10" s="1">
        <f t="shared" si="4"/>
        <v>16600</v>
      </c>
      <c r="F10" s="1">
        <f t="shared" si="5"/>
        <v>4720</v>
      </c>
      <c r="G10" s="1">
        <f>1110+1110</f>
        <v>2220</v>
      </c>
      <c r="H10" s="1">
        <v>2500</v>
      </c>
      <c r="I10" s="1">
        <v>0</v>
      </c>
      <c r="J10" s="1">
        <f>5940+5940</f>
        <v>11880</v>
      </c>
      <c r="K10" s="1">
        <v>0</v>
      </c>
    </row>
    <row r="11" spans="1:11">
      <c r="A11" s="7">
        <v>45016</v>
      </c>
      <c r="B11" s="7" t="s">
        <v>134</v>
      </c>
      <c r="C11" t="s">
        <v>127</v>
      </c>
      <c r="E11" s="1">
        <f t="shared" si="4"/>
        <v>2220</v>
      </c>
      <c r="F11" s="1">
        <f t="shared" si="5"/>
        <v>2220</v>
      </c>
      <c r="G11" s="1">
        <f>1110+1110</f>
        <v>2220</v>
      </c>
      <c r="H11" s="1">
        <v>0</v>
      </c>
      <c r="I11" s="1">
        <v>0</v>
      </c>
      <c r="J11" s="1">
        <v>0</v>
      </c>
      <c r="K11" s="1">
        <v>0</v>
      </c>
    </row>
    <row r="12" spans="1:11">
      <c r="A12" s="7"/>
      <c r="B12" s="7" t="s">
        <v>130</v>
      </c>
      <c r="C12" t="s">
        <v>127</v>
      </c>
      <c r="E12" s="1">
        <f t="shared" si="4"/>
        <v>0</v>
      </c>
      <c r="F12" s="1">
        <f t="shared" si="5"/>
        <v>0</v>
      </c>
    </row>
    <row r="13" spans="1:11">
      <c r="A13" s="7"/>
      <c r="B13" s="7" t="s">
        <v>130</v>
      </c>
      <c r="C13" t="s">
        <v>127</v>
      </c>
      <c r="E13" s="1">
        <f t="shared" si="4"/>
        <v>0</v>
      </c>
      <c r="F13" s="1">
        <f t="shared" si="5"/>
        <v>0</v>
      </c>
    </row>
    <row r="14" spans="1:11">
      <c r="A14" s="7"/>
      <c r="B14" s="7" t="s">
        <v>130</v>
      </c>
      <c r="C14" t="s">
        <v>127</v>
      </c>
      <c r="E14" s="1">
        <f t="shared" si="4"/>
        <v>0</v>
      </c>
      <c r="F14" s="1">
        <f t="shared" si="5"/>
        <v>0</v>
      </c>
    </row>
    <row r="15" spans="1:11">
      <c r="A15" s="7"/>
      <c r="B15" s="7" t="s">
        <v>130</v>
      </c>
      <c r="C15" t="s">
        <v>127</v>
      </c>
      <c r="E15" s="1">
        <f t="shared" si="4"/>
        <v>0</v>
      </c>
      <c r="F15" s="1">
        <f t="shared" si="5"/>
        <v>0</v>
      </c>
    </row>
    <row r="16" spans="1:11">
      <c r="A16" s="7"/>
      <c r="B16" s="7" t="s">
        <v>130</v>
      </c>
      <c r="C16" t="s">
        <v>127</v>
      </c>
      <c r="E16" s="1">
        <f t="shared" si="4"/>
        <v>0</v>
      </c>
      <c r="F16" s="1">
        <f t="shared" si="5"/>
        <v>0</v>
      </c>
    </row>
    <row r="17" spans="1:6">
      <c r="A17" s="7"/>
      <c r="B17" s="7" t="s">
        <v>130</v>
      </c>
      <c r="C17" t="s">
        <v>127</v>
      </c>
      <c r="E17" s="1">
        <f t="shared" si="4"/>
        <v>0</v>
      </c>
      <c r="F17" s="1">
        <f t="shared" si="5"/>
        <v>0</v>
      </c>
    </row>
    <row r="18" spans="1:6">
      <c r="A18" s="7"/>
      <c r="B18" s="7" t="s">
        <v>130</v>
      </c>
      <c r="C18" t="s">
        <v>127</v>
      </c>
      <c r="E18" s="1">
        <f t="shared" si="4"/>
        <v>0</v>
      </c>
      <c r="F18" s="1">
        <f t="shared" si="5"/>
        <v>0</v>
      </c>
    </row>
    <row r="19" spans="1:6">
      <c r="A19" s="7"/>
      <c r="B19" s="7" t="s">
        <v>130</v>
      </c>
      <c r="C19" t="s">
        <v>127</v>
      </c>
      <c r="E19" s="1">
        <f t="shared" si="4"/>
        <v>0</v>
      </c>
      <c r="F19" s="1">
        <f t="shared" si="5"/>
        <v>0</v>
      </c>
    </row>
    <row r="20" spans="1:6">
      <c r="A20" s="7"/>
      <c r="B20" s="7" t="s">
        <v>130</v>
      </c>
      <c r="C20" t="s">
        <v>127</v>
      </c>
      <c r="E20" s="1">
        <f t="shared" si="4"/>
        <v>0</v>
      </c>
      <c r="F20" s="1">
        <f t="shared" si="5"/>
        <v>0</v>
      </c>
    </row>
    <row r="21" spans="1:6">
      <c r="A21" s="7"/>
      <c r="B21" s="7" t="s">
        <v>130</v>
      </c>
      <c r="C21" t="s">
        <v>127</v>
      </c>
      <c r="E21" s="1">
        <f t="shared" si="4"/>
        <v>0</v>
      </c>
      <c r="F21" s="1">
        <f t="shared" si="5"/>
        <v>0</v>
      </c>
    </row>
    <row r="22" spans="1:6">
      <c r="A22" s="7"/>
      <c r="B22" s="7" t="s">
        <v>130</v>
      </c>
      <c r="C22" t="s">
        <v>127</v>
      </c>
      <c r="E22" s="1">
        <f t="shared" si="4"/>
        <v>0</v>
      </c>
      <c r="F22" s="1">
        <f t="shared" si="5"/>
        <v>0</v>
      </c>
    </row>
    <row r="23" spans="1:6">
      <c r="A23" s="7"/>
      <c r="B23" s="7" t="s">
        <v>130</v>
      </c>
      <c r="C23" t="s">
        <v>127</v>
      </c>
      <c r="E23" s="1">
        <f t="shared" si="4"/>
        <v>0</v>
      </c>
      <c r="F23" s="1">
        <f t="shared" si="5"/>
        <v>0</v>
      </c>
    </row>
    <row r="24" spans="1:6">
      <c r="A24" s="7"/>
      <c r="B24" s="7" t="s">
        <v>130</v>
      </c>
      <c r="C24" t="s">
        <v>127</v>
      </c>
      <c r="E24" s="1">
        <f t="shared" si="4"/>
        <v>0</v>
      </c>
      <c r="F24" s="1">
        <f t="shared" si="5"/>
        <v>0</v>
      </c>
    </row>
    <row r="25" spans="1:6">
      <c r="A25" s="7"/>
      <c r="B25" s="7" t="s">
        <v>130</v>
      </c>
      <c r="C25" t="s">
        <v>127</v>
      </c>
      <c r="E25" s="1">
        <f t="shared" si="4"/>
        <v>0</v>
      </c>
      <c r="F25" s="1">
        <f t="shared" si="5"/>
        <v>0</v>
      </c>
    </row>
    <row r="26" spans="1:6">
      <c r="A26" s="7"/>
      <c r="B26" s="7" t="s">
        <v>130</v>
      </c>
      <c r="C26" t="s">
        <v>127</v>
      </c>
      <c r="E26" s="1">
        <f t="shared" si="4"/>
        <v>0</v>
      </c>
      <c r="F26" s="1">
        <f t="shared" si="5"/>
        <v>0</v>
      </c>
    </row>
    <row r="27" spans="1:6">
      <c r="A27" s="7"/>
      <c r="B27" s="7" t="s">
        <v>130</v>
      </c>
      <c r="C27" t="s">
        <v>127</v>
      </c>
      <c r="E27" s="1">
        <f t="shared" si="4"/>
        <v>0</v>
      </c>
      <c r="F27" s="1">
        <f t="shared" si="5"/>
        <v>0</v>
      </c>
    </row>
    <row r="28" spans="1:6">
      <c r="A28" s="7"/>
      <c r="B28" s="7" t="s">
        <v>130</v>
      </c>
      <c r="C28" t="s">
        <v>127</v>
      </c>
      <c r="E28" s="1">
        <f t="shared" si="4"/>
        <v>0</v>
      </c>
      <c r="F28" s="1">
        <f t="shared" si="5"/>
        <v>0</v>
      </c>
    </row>
    <row r="29" spans="1:6">
      <c r="A29" s="7"/>
      <c r="B29" s="7" t="s">
        <v>130</v>
      </c>
      <c r="C29" t="s">
        <v>127</v>
      </c>
      <c r="E29" s="1">
        <f t="shared" si="4"/>
        <v>0</v>
      </c>
      <c r="F29" s="1">
        <f t="shared" si="5"/>
        <v>0</v>
      </c>
    </row>
    <row r="30" spans="1:6">
      <c r="A30" s="7"/>
      <c r="B30" s="7" t="s">
        <v>130</v>
      </c>
      <c r="C30" t="s">
        <v>127</v>
      </c>
      <c r="E30" s="1">
        <f t="shared" si="4"/>
        <v>0</v>
      </c>
      <c r="F30" s="1">
        <f t="shared" si="5"/>
        <v>0</v>
      </c>
    </row>
    <row r="31" spans="1:6">
      <c r="A31" s="7"/>
      <c r="B31" s="7" t="s">
        <v>130</v>
      </c>
      <c r="C31" t="s">
        <v>127</v>
      </c>
      <c r="E31" s="1">
        <f t="shared" si="4"/>
        <v>0</v>
      </c>
      <c r="F31" s="1">
        <f t="shared" si="5"/>
        <v>0</v>
      </c>
    </row>
    <row r="32" spans="1:6">
      <c r="A32" s="7"/>
      <c r="B32" s="7" t="s">
        <v>130</v>
      </c>
      <c r="C32" t="s">
        <v>127</v>
      </c>
      <c r="E32" s="1">
        <f t="shared" si="4"/>
        <v>0</v>
      </c>
      <c r="F32" s="1">
        <f t="shared" si="5"/>
        <v>0</v>
      </c>
    </row>
    <row r="33" spans="1:6">
      <c r="A33" s="7"/>
      <c r="B33" s="7" t="s">
        <v>130</v>
      </c>
      <c r="C33" t="s">
        <v>127</v>
      </c>
      <c r="E33" s="1">
        <f t="shared" si="4"/>
        <v>0</v>
      </c>
      <c r="F33" s="1">
        <f t="shared" si="5"/>
        <v>0</v>
      </c>
    </row>
    <row r="34" spans="1:6">
      <c r="A34" s="7"/>
      <c r="B34" s="7" t="s">
        <v>130</v>
      </c>
      <c r="C34" t="s">
        <v>127</v>
      </c>
      <c r="E34" s="1">
        <f t="shared" si="4"/>
        <v>0</v>
      </c>
      <c r="F34" s="1">
        <f t="shared" si="5"/>
        <v>0</v>
      </c>
    </row>
    <row r="35" spans="1:6">
      <c r="A35" s="7"/>
      <c r="B35" s="7" t="s">
        <v>130</v>
      </c>
      <c r="C35" t="s">
        <v>127</v>
      </c>
      <c r="E35" s="1">
        <f t="shared" si="4"/>
        <v>0</v>
      </c>
      <c r="F35" s="1">
        <f t="shared" si="5"/>
        <v>0</v>
      </c>
    </row>
    <row r="36" spans="1:6">
      <c r="A36" s="7"/>
      <c r="B36" s="7" t="s">
        <v>130</v>
      </c>
      <c r="C36" t="s">
        <v>127</v>
      </c>
      <c r="E36" s="1">
        <f t="shared" si="4"/>
        <v>0</v>
      </c>
      <c r="F36" s="1">
        <f t="shared" si="5"/>
        <v>0</v>
      </c>
    </row>
    <row r="37" spans="1:6">
      <c r="A37" s="7"/>
      <c r="B37" s="7" t="s">
        <v>130</v>
      </c>
      <c r="C37" t="s">
        <v>127</v>
      </c>
      <c r="E37" s="1">
        <f t="shared" si="4"/>
        <v>0</v>
      </c>
      <c r="F37" s="1">
        <f t="shared" si="5"/>
        <v>0</v>
      </c>
    </row>
    <row r="38" spans="1:6">
      <c r="A38" s="7"/>
      <c r="B38" s="7" t="s">
        <v>130</v>
      </c>
      <c r="C38" t="s">
        <v>127</v>
      </c>
      <c r="E38" s="1">
        <f t="shared" si="4"/>
        <v>0</v>
      </c>
      <c r="F38" s="1">
        <f t="shared" si="5"/>
        <v>0</v>
      </c>
    </row>
    <row r="39" spans="1:6">
      <c r="A39" s="7"/>
      <c r="B39" s="7" t="s">
        <v>130</v>
      </c>
      <c r="C39" t="s">
        <v>127</v>
      </c>
      <c r="E39" s="1">
        <f t="shared" si="4"/>
        <v>0</v>
      </c>
      <c r="F39" s="1">
        <f t="shared" si="5"/>
        <v>0</v>
      </c>
    </row>
    <row r="40" spans="1:6">
      <c r="A40" s="7"/>
      <c r="B40" s="7" t="s">
        <v>130</v>
      </c>
      <c r="C40" t="s">
        <v>127</v>
      </c>
      <c r="E40" s="1">
        <f t="shared" si="4"/>
        <v>0</v>
      </c>
      <c r="F40" s="1">
        <f t="shared" si="5"/>
        <v>0</v>
      </c>
    </row>
    <row r="41" spans="1:6">
      <c r="A41" s="7"/>
      <c r="B41" s="7" t="s">
        <v>130</v>
      </c>
      <c r="C41" t="s">
        <v>127</v>
      </c>
      <c r="E41" s="1">
        <f t="shared" si="4"/>
        <v>0</v>
      </c>
      <c r="F41" s="1">
        <f t="shared" si="5"/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給料</vt:lpstr>
      <vt:lpstr>割合</vt:lpstr>
      <vt:lpstr>基本給</vt:lpstr>
      <vt:lpstr>在宅勤務費用補填</vt:lpstr>
      <vt:lpstr>出張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畑裕介</dc:creator>
  <cp:lastModifiedBy>畑裕介</cp:lastModifiedBy>
  <dcterms:created xsi:type="dcterms:W3CDTF">2024-01-24T07:06:49Z</dcterms:created>
  <dcterms:modified xsi:type="dcterms:W3CDTF">2026-06-26T10:27:25Z</dcterms:modified>
</cp:coreProperties>
</file>
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135" windowWidth="19395" windowHeight="7170" activeTab="1"/>
  </bookViews>
  <sheets>
    <sheet name="トップス" sheetId="1" r:id="rId1"/>
    <sheet name="パンツ" sheetId="4" r:id="rId2"/>
    <sheet name="その他" sheetId="2" r:id="rId3"/>
    <sheet name="Sheet3" sheetId="3" r:id="rId4"/>
  </sheets>
  <definedNames>
    <definedName name="_xlnm._FilterDatabase" localSheetId="0" hidden="1">トップス!$A$2:$M$41</definedName>
    <definedName name="_xlnm._FilterDatabase" localSheetId="1" hidden="1">パンツ!$A$1:$N$21</definedName>
  </definedNames>
  <calcPr calcId="125725"/>
</workbook>
</file>

<file path=xl/calcChain.xml><?xml version="1.0" encoding="utf-8"?>
<calcChain xmlns="http://schemas.openxmlformats.org/spreadsheetml/2006/main">
  <c r="L41" i="1"/>
  <c r="L40"/>
  <c r="L39"/>
  <c r="L38"/>
  <c r="L35"/>
  <c r="L34"/>
  <c r="L33"/>
  <c r="L32"/>
  <c r="L31"/>
  <c r="L29"/>
  <c r="L28"/>
  <c r="L27"/>
  <c r="L26"/>
  <c r="L25"/>
  <c r="L24"/>
  <c r="L23"/>
  <c r="L22"/>
  <c r="L21"/>
  <c r="L20"/>
  <c r="L19"/>
  <c r="L18"/>
  <c r="L17"/>
  <c r="L16"/>
  <c r="L15"/>
  <c r="L14"/>
  <c r="L13"/>
  <c r="L12"/>
  <c r="L11"/>
  <c r="L10"/>
  <c r="L9"/>
  <c r="L8"/>
  <c r="L7"/>
  <c r="L6"/>
  <c r="L5"/>
  <c r="L4"/>
  <c r="L3"/>
  <c r="L2"/>
  <c r="K2" i="4"/>
  <c r="K9"/>
  <c r="K3"/>
  <c r="K8"/>
  <c r="K18"/>
  <c r="K17"/>
  <c r="K12"/>
  <c r="K4"/>
  <c r="K20"/>
  <c r="K16"/>
  <c r="K14"/>
  <c r="K6"/>
  <c r="K13"/>
  <c r="K15"/>
  <c r="K7"/>
  <c r="K19"/>
  <c r="K5"/>
  <c r="K11"/>
  <c r="K21"/>
  <c r="K10"/>
</calcChain>
</file>

<file path=xl/sharedStrings.xml><?xml version="1.0" encoding="utf-8"?>
<sst xmlns="http://schemas.openxmlformats.org/spreadsheetml/2006/main" count="415" uniqueCount="156">
  <si>
    <t>ブランド</t>
    <phoneticPr fontId="2"/>
  </si>
  <si>
    <t>カテゴリー</t>
    <phoneticPr fontId="2"/>
  </si>
  <si>
    <t>色</t>
    <rPh sb="0" eb="1">
      <t>イロ</t>
    </rPh>
    <phoneticPr fontId="2"/>
  </si>
  <si>
    <t>商品名</t>
    <rPh sb="0" eb="3">
      <t>ショウヒンメイ</t>
    </rPh>
    <phoneticPr fontId="2"/>
  </si>
  <si>
    <t>購入済み</t>
    <rPh sb="0" eb="3">
      <t>コウニュウズ</t>
    </rPh>
    <phoneticPr fontId="2"/>
  </si>
  <si>
    <t>〇</t>
    <phoneticPr fontId="2"/>
  </si>
  <si>
    <t>サイドスリットコットンポンチビッグシルエットドレープ5分袖ハーフジップカットソー</t>
    <rPh sb="27" eb="29">
      <t>ブソデ</t>
    </rPh>
    <phoneticPr fontId="2"/>
  </si>
  <si>
    <t>LILL</t>
    <phoneticPr fontId="2"/>
  </si>
  <si>
    <t>Tシャツ</t>
    <phoneticPr fontId="2"/>
  </si>
  <si>
    <t>黒</t>
    <rPh sb="0" eb="1">
      <t>クロ</t>
    </rPh>
    <phoneticPr fontId="2"/>
  </si>
  <si>
    <t>身幅</t>
    <rPh sb="0" eb="2">
      <t>ミハバ</t>
    </rPh>
    <phoneticPr fontId="2"/>
  </si>
  <si>
    <t>肩幅</t>
    <rPh sb="0" eb="2">
      <t>カタハバ</t>
    </rPh>
    <phoneticPr fontId="2"/>
  </si>
  <si>
    <t>着丈</t>
    <rPh sb="0" eb="2">
      <t>キタケ</t>
    </rPh>
    <phoneticPr fontId="2"/>
  </si>
  <si>
    <t>そで丈</t>
    <rPh sb="2" eb="3">
      <t>タケ</t>
    </rPh>
    <phoneticPr fontId="2"/>
  </si>
  <si>
    <t>66/68</t>
    <phoneticPr fontId="2"/>
  </si>
  <si>
    <t>M-47デザイン TRルーズ パラシュートパンツ</t>
    <phoneticPr fontId="2"/>
  </si>
  <si>
    <t>CLEL</t>
    <phoneticPr fontId="2"/>
  </si>
  <si>
    <t>カーゴパンツ</t>
    <phoneticPr fontId="2"/>
  </si>
  <si>
    <t>ウエスト</t>
    <phoneticPr fontId="2"/>
  </si>
  <si>
    <t>ヒップ</t>
    <phoneticPr fontId="2"/>
  </si>
  <si>
    <t>股上</t>
    <rPh sb="0" eb="2">
      <t>マタウエ</t>
    </rPh>
    <phoneticPr fontId="2"/>
  </si>
  <si>
    <t>股下</t>
    <rPh sb="0" eb="2">
      <t>マタシタ</t>
    </rPh>
    <phoneticPr fontId="2"/>
  </si>
  <si>
    <t>もも周り</t>
    <rPh sb="2" eb="3">
      <t>マワ</t>
    </rPh>
    <phoneticPr fontId="2"/>
  </si>
  <si>
    <t>すそ周り</t>
    <rPh sb="2" eb="3">
      <t>マワ</t>
    </rPh>
    <phoneticPr fontId="2"/>
  </si>
  <si>
    <t>74～88</t>
    <phoneticPr fontId="2"/>
  </si>
  <si>
    <t>値段</t>
    <rPh sb="0" eb="2">
      <t>ネダン</t>
    </rPh>
    <phoneticPr fontId="2"/>
  </si>
  <si>
    <t>サイドスリットコットンポンチビッグシルエットシルケットライク５分袖ドレープカットソー</t>
    <rPh sb="31" eb="32">
      <t>ブ</t>
    </rPh>
    <rPh sb="32" eb="33">
      <t>ソデ</t>
    </rPh>
    <phoneticPr fontId="2"/>
  </si>
  <si>
    <t>M</t>
    <phoneticPr fontId="2"/>
  </si>
  <si>
    <t>S</t>
    <phoneticPr fontId="2"/>
  </si>
  <si>
    <t>XS</t>
    <phoneticPr fontId="2"/>
  </si>
  <si>
    <t>白</t>
    <rPh sb="0" eb="1">
      <t>シロ</t>
    </rPh>
    <phoneticPr fontId="2"/>
  </si>
  <si>
    <t>ハーフジップ</t>
    <phoneticPr fontId="2"/>
  </si>
  <si>
    <t>ルーズシルエットサイドスリットアソートタンクトップ</t>
    <phoneticPr fontId="2"/>
  </si>
  <si>
    <t>タンクトップ</t>
    <phoneticPr fontId="2"/>
  </si>
  <si>
    <t>70.5/73</t>
    <phoneticPr fontId="2"/>
  </si>
  <si>
    <t>総丈</t>
    <rPh sb="0" eb="2">
      <t>ソウタケ</t>
    </rPh>
    <phoneticPr fontId="2"/>
  </si>
  <si>
    <t>75/77</t>
    <phoneticPr fontId="2"/>
  </si>
  <si>
    <t>L</t>
    <phoneticPr fontId="2"/>
  </si>
  <si>
    <t>ハイドレープトロミポンチオーバーサイズTシャツ</t>
    <phoneticPr fontId="2"/>
  </si>
  <si>
    <t>Loose</t>
    <phoneticPr fontId="2"/>
  </si>
  <si>
    <t>69/70</t>
    <phoneticPr fontId="2"/>
  </si>
  <si>
    <t>ダブルジップカーゴポケットコードシャツ</t>
    <phoneticPr fontId="2"/>
  </si>
  <si>
    <t>EllnoLoset</t>
    <phoneticPr fontId="2"/>
  </si>
  <si>
    <t>シャツ</t>
    <phoneticPr fontId="2"/>
  </si>
  <si>
    <t>コードスリーププリーツシアーシャツ</t>
    <phoneticPr fontId="2"/>
  </si>
  <si>
    <t>High End Line Oversized 6design Tee</t>
    <phoneticPr fontId="2"/>
  </si>
  <si>
    <t>ADRER</t>
    <phoneticPr fontId="2"/>
  </si>
  <si>
    <t>グレー
グラデーション</t>
    <phoneticPr fontId="2"/>
  </si>
  <si>
    <t>黒
グラデーション</t>
    <rPh sb="0" eb="1">
      <t>クロ</t>
    </rPh>
    <phoneticPr fontId="2"/>
  </si>
  <si>
    <t>オーバーサイズとろみビッグシルエットストレッチレギュラーカラー半袖シャツ</t>
    <rPh sb="31" eb="33">
      <t>ハンソデ</t>
    </rPh>
    <phoneticPr fontId="2"/>
  </si>
  <si>
    <t>RockyMonroe</t>
    <phoneticPr fontId="2"/>
  </si>
  <si>
    <t>ビッグシルエットドレープツインレギュラーカラーシャツ</t>
    <phoneticPr fontId="2"/>
  </si>
  <si>
    <t>SITRY</t>
    <phoneticPr fontId="2"/>
  </si>
  <si>
    <t>購入
済み</t>
    <rPh sb="0" eb="2">
      <t>コウニュウ</t>
    </rPh>
    <rPh sb="3" eb="4">
      <t>ズ</t>
    </rPh>
    <phoneticPr fontId="2"/>
  </si>
  <si>
    <t>TRストレッチルーズシルエット2wayオープンカラーシャツ</t>
    <phoneticPr fontId="2"/>
  </si>
  <si>
    <t>cussil</t>
    <phoneticPr fontId="2"/>
  </si>
  <si>
    <t>75/78</t>
    <phoneticPr fontId="2"/>
  </si>
  <si>
    <t>コットンノースリーブショートカットソー</t>
    <phoneticPr fontId="2"/>
  </si>
  <si>
    <t>ドレープトロミハーフジップオーバーシャツティー</t>
    <phoneticPr fontId="2"/>
  </si>
  <si>
    <t>ハーフジップ</t>
    <phoneticPr fontId="2"/>
  </si>
  <si>
    <t>ドレープオーバーサイズマルチギミックハーフジップ半袖シャツ</t>
    <rPh sb="24" eb="26">
      <t>ハンソデ</t>
    </rPh>
    <phoneticPr fontId="2"/>
  </si>
  <si>
    <t>25ss extra quality Hybrid loose shirt</t>
    <phoneticPr fontId="2"/>
  </si>
  <si>
    <t>青
グラデーション</t>
    <rPh sb="0" eb="1">
      <t>アオ</t>
    </rPh>
    <phoneticPr fontId="2"/>
  </si>
  <si>
    <t>NOWLE</t>
    <phoneticPr fontId="2"/>
  </si>
  <si>
    <t>ライン柄ノースリーブジップパーカー/セットアップ</t>
    <rPh sb="3" eb="4">
      <t>ガラ</t>
    </rPh>
    <phoneticPr fontId="2"/>
  </si>
  <si>
    <t>シャツ&amp;パンツ</t>
    <phoneticPr fontId="2"/>
  </si>
  <si>
    <t>ケミカル加工　ノースリーブジップパーカー</t>
    <rPh sb="4" eb="6">
      <t>カコウ</t>
    </rPh>
    <phoneticPr fontId="2"/>
  </si>
  <si>
    <t>KUUUPY</t>
    <phoneticPr fontId="2"/>
  </si>
  <si>
    <t>グレー</t>
    <phoneticPr fontId="2"/>
  </si>
  <si>
    <t>龍×陰陽太極プリントTシャツ</t>
    <rPh sb="0" eb="1">
      <t>リュウ</t>
    </rPh>
    <rPh sb="2" eb="4">
      <t>オンミョウ</t>
    </rPh>
    <rPh sb="4" eb="6">
      <t>タイキョク</t>
    </rPh>
    <phoneticPr fontId="2"/>
  </si>
  <si>
    <t>REZEN</t>
    <phoneticPr fontId="2"/>
  </si>
  <si>
    <t>ローズ
黒</t>
    <rPh sb="4" eb="5">
      <t>クロ</t>
    </rPh>
    <phoneticPr fontId="2"/>
  </si>
  <si>
    <t>ゆき</t>
    <phoneticPr fontId="2"/>
  </si>
  <si>
    <t>ドライアムンゼンロングレイヤードタンクトップ</t>
    <phoneticPr fontId="2"/>
  </si>
  <si>
    <t>フォックスプリント2wayノースリーブTシャツ</t>
    <phoneticPr fontId="2"/>
  </si>
  <si>
    <t>ノースリーブ</t>
    <phoneticPr fontId="2"/>
  </si>
  <si>
    <t>ドルマンハーフリングジップシャツ</t>
    <phoneticPr fontId="2"/>
  </si>
  <si>
    <t>和袖テーラードジャケット</t>
    <rPh sb="0" eb="2">
      <t>ワソデ</t>
    </rPh>
    <phoneticPr fontId="2"/>
  </si>
  <si>
    <t>ジャケット</t>
    <phoneticPr fontId="2"/>
  </si>
  <si>
    <t>タックル付狩衣切替羽織</t>
    <rPh sb="4" eb="5">
      <t>ツキ</t>
    </rPh>
    <rPh sb="5" eb="6">
      <t>カ</t>
    </rPh>
    <rPh sb="6" eb="7">
      <t>コロモ</t>
    </rPh>
    <rPh sb="7" eb="9">
      <t>キリカエ</t>
    </rPh>
    <rPh sb="9" eb="11">
      <t>ハオリ</t>
    </rPh>
    <phoneticPr fontId="2"/>
  </si>
  <si>
    <t>ルーズシルエット半袖ダブルテーラードジャケット</t>
    <rPh sb="8" eb="10">
      <t>ハンソデ</t>
    </rPh>
    <phoneticPr fontId="2"/>
  </si>
  <si>
    <t>SERACE</t>
    <phoneticPr fontId="2"/>
  </si>
  <si>
    <t>ジップギミックハーフスリーブショートテーラードジャケット</t>
    <phoneticPr fontId="2"/>
  </si>
  <si>
    <t>ELLUV</t>
    <phoneticPr fontId="2"/>
  </si>
  <si>
    <t>エクストラクオリティワイドフレアパンツ</t>
    <phoneticPr fontId="2"/>
  </si>
  <si>
    <t>parachute cargp pants</t>
    <phoneticPr fontId="2"/>
  </si>
  <si>
    <t>カーゴパンツ</t>
    <phoneticPr fontId="2"/>
  </si>
  <si>
    <t>XXS</t>
    <phoneticPr fontId="2"/>
  </si>
  <si>
    <t>エクストラクオリティディフォーメーションフレアカーゴパンツ</t>
    <phoneticPr fontId="2"/>
  </si>
  <si>
    <t>ハイウエストワイドドレーププリーツ袴スラックス</t>
    <rPh sb="17" eb="18">
      <t>ハカマ</t>
    </rPh>
    <phoneticPr fontId="2"/>
  </si>
  <si>
    <t>スラックス</t>
    <phoneticPr fontId="2"/>
  </si>
  <si>
    <t>72～94</t>
    <phoneticPr fontId="2"/>
  </si>
  <si>
    <t>オーバーサイズ8ポケットカーゴパンツ</t>
    <phoneticPr fontId="2"/>
  </si>
  <si>
    <t>カーゴパンツ</t>
    <phoneticPr fontId="2"/>
  </si>
  <si>
    <t>66～92</t>
    <phoneticPr fontId="2"/>
  </si>
  <si>
    <t>ハイウエストワイドジャガードドレープスラックス</t>
    <phoneticPr fontId="2"/>
  </si>
  <si>
    <t>サイドプリーツハトメベルトパンツ</t>
    <phoneticPr fontId="2"/>
  </si>
  <si>
    <t>パンツ長</t>
    <rPh sb="3" eb="4">
      <t>チョウ</t>
    </rPh>
    <phoneticPr fontId="2"/>
  </si>
  <si>
    <t>ハカマタックワイドパンツ</t>
    <phoneticPr fontId="2"/>
  </si>
  <si>
    <t>60～74</t>
    <phoneticPr fontId="2"/>
  </si>
  <si>
    <t>モードギミックワイドカーゴパンツ</t>
    <phoneticPr fontId="2"/>
  </si>
  <si>
    <t>welise</t>
    <phoneticPr fontId="2"/>
  </si>
  <si>
    <t>エバークリース2タックセンタープレスワイドフレアスラックス</t>
    <phoneticPr fontId="2"/>
  </si>
  <si>
    <t>SOCCE</t>
    <phoneticPr fontId="2"/>
  </si>
  <si>
    <t>68～84</t>
    <phoneticPr fontId="2"/>
  </si>
  <si>
    <t>ドレープルーズシルエットサスペンダーダブルタックシアーレイヤードスリットパンツ</t>
    <phoneticPr fontId="2"/>
  </si>
  <si>
    <t>VELNUS</t>
    <phoneticPr fontId="2"/>
  </si>
  <si>
    <t>71～83</t>
    <phoneticPr fontId="2"/>
  </si>
  <si>
    <t>チャイナデザインラップパンツ</t>
    <phoneticPr fontId="2"/>
  </si>
  <si>
    <t>69～85</t>
    <phoneticPr fontId="2"/>
  </si>
  <si>
    <t>パイピンクチャイナパンツ</t>
    <phoneticPr fontId="2"/>
  </si>
  <si>
    <t>70～88</t>
    <phoneticPr fontId="2"/>
  </si>
  <si>
    <t>ノーブルトロミボリュームタックワイドパンツ</t>
    <phoneticPr fontId="2"/>
  </si>
  <si>
    <t>68～78</t>
    <phoneticPr fontId="2"/>
  </si>
  <si>
    <t>ルーズシルエットハイウエストサスペンダーZIPポケットデニムカーゴパンツ</t>
    <phoneticPr fontId="2"/>
  </si>
  <si>
    <t>62～88</t>
    <phoneticPr fontId="2"/>
  </si>
  <si>
    <t>スーパーワイドサスペンダーパンツ</t>
    <phoneticPr fontId="2"/>
  </si>
  <si>
    <t>68～86</t>
    <phoneticPr fontId="2"/>
  </si>
  <si>
    <t>parachute cargp short pants</t>
    <phoneticPr fontId="2"/>
  </si>
  <si>
    <t>ショートパンツ</t>
    <phoneticPr fontId="2"/>
  </si>
  <si>
    <t>66～100</t>
    <phoneticPr fontId="2"/>
  </si>
  <si>
    <t>ドレープルーズシルエットハイウエストフルレングスダブルサスペンダーハカマパンツ</t>
    <phoneticPr fontId="2"/>
  </si>
  <si>
    <t>70～80</t>
    <phoneticPr fontId="2"/>
  </si>
  <si>
    <t>ワイドプリーツショーツ</t>
    <phoneticPr fontId="2"/>
  </si>
  <si>
    <t>82～96</t>
    <phoneticPr fontId="2"/>
  </si>
  <si>
    <t>メタルプレートブーツサンダル</t>
    <phoneticPr fontId="2"/>
  </si>
  <si>
    <t>サイズ</t>
    <phoneticPr fontId="2"/>
  </si>
  <si>
    <t>ブーツ</t>
    <phoneticPr fontId="2"/>
  </si>
  <si>
    <t>サンダル</t>
    <phoneticPr fontId="2"/>
  </si>
  <si>
    <t>ボリューム厚底ハイソールスニーカー</t>
    <rPh sb="5" eb="7">
      <t>アツゾコ</t>
    </rPh>
    <phoneticPr fontId="2"/>
  </si>
  <si>
    <t>linklot</t>
    <phoneticPr fontId="2"/>
  </si>
  <si>
    <t>スニーカー</t>
    <phoneticPr fontId="2"/>
  </si>
  <si>
    <t>26.5～27</t>
    <phoneticPr fontId="2"/>
  </si>
  <si>
    <t>25.5～26</t>
    <phoneticPr fontId="2"/>
  </si>
  <si>
    <t>LOVEHUNTER厚底ベルテッドシューズ</t>
    <rPh sb="10" eb="12">
      <t>アツゾコ</t>
    </rPh>
    <phoneticPr fontId="2"/>
  </si>
  <si>
    <t>LOVEHUNTER</t>
    <phoneticPr fontId="2"/>
  </si>
  <si>
    <t>厚底軽量と楽ソールコインローファー</t>
    <rPh sb="0" eb="2">
      <t>アツゾコ</t>
    </rPh>
    <rPh sb="2" eb="4">
      <t>ケイリョウ</t>
    </rPh>
    <rPh sb="5" eb="6">
      <t>ラク</t>
    </rPh>
    <phoneticPr fontId="2"/>
  </si>
  <si>
    <t>glabella</t>
    <phoneticPr fontId="2"/>
  </si>
  <si>
    <t>ローファー</t>
    <phoneticPr fontId="2"/>
  </si>
  <si>
    <t>+7cmハイソールPUレザーバックルベルテッドサンダル</t>
    <phoneticPr fontId="2"/>
  </si>
  <si>
    <t>3-11E67ダッドスニーカーチャンキーソール厚底アグリーシューズ</t>
    <rPh sb="23" eb="25">
      <t>アツゾコ</t>
    </rPh>
    <phoneticPr fontId="2"/>
  </si>
  <si>
    <t>CALIFORNIAOUTFITTERS</t>
    <phoneticPr fontId="2"/>
  </si>
  <si>
    <t>ベーシックチェーンネックレス</t>
    <phoneticPr fontId="2"/>
  </si>
  <si>
    <t>ネックレス</t>
    <phoneticPr fontId="2"/>
  </si>
  <si>
    <t>ループタイ</t>
    <phoneticPr fontId="2"/>
  </si>
  <si>
    <t>シルバー</t>
    <phoneticPr fontId="2"/>
  </si>
  <si>
    <t>ニュアンスメタルループタイ</t>
    <phoneticPr fontId="2"/>
  </si>
  <si>
    <t>SBG</t>
    <phoneticPr fontId="2"/>
  </si>
  <si>
    <t>キューブチェーンループタイ</t>
    <phoneticPr fontId="2"/>
  </si>
  <si>
    <t>チェリーネックレス</t>
    <phoneticPr fontId="2"/>
  </si>
  <si>
    <t>HIKA</t>
    <phoneticPr fontId="2"/>
  </si>
  <si>
    <t>△</t>
    <phoneticPr fontId="2"/>
  </si>
  <si>
    <t>ルースシルエットコットンポンチドレープトラックハーフジップ半袖プルオーバー</t>
    <rPh sb="29" eb="31">
      <t>ハンソデ</t>
    </rPh>
    <phoneticPr fontId="2"/>
  </si>
  <si>
    <t>ライトグレー</t>
    <phoneticPr fontId="2"/>
  </si>
  <si>
    <t>ブルーグレー</t>
    <phoneticPr fontId="2"/>
  </si>
  <si>
    <t>ー</t>
    <phoneticPr fontId="2"/>
  </si>
</sst>
</file>

<file path=xl/styles.xml><?xml version="1.0" encoding="utf-8"?>
<styleSheet xmlns="http://schemas.openxmlformats.org/spreadsheetml/2006/main">
  <fonts count="3">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38" fontId="0" fillId="0" borderId="0" xfId="1" applyFont="1" applyAlignment="1">
      <alignment vertical="center" wrapText="1"/>
    </xf>
    <xf numFmtId="0" fontId="0" fillId="0" borderId="0" xfId="0" quotePrefix="1" applyAlignment="1">
      <alignment vertical="center" wrapText="1"/>
    </xf>
    <xf numFmtId="38" fontId="0" fillId="0" borderId="0" xfId="1" applyFont="1">
      <alignment vertical="center"/>
    </xf>
  </cellXfs>
  <cellStyles count="2">
    <cellStyle name="桁区切り" xfId="1" builtinId="6"/>
    <cellStyle name="標準"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1"/>
  <dimension ref="A1:M41"/>
  <sheetViews>
    <sheetView zoomScale="385" zoomScaleNormal="385" workbookViewId="0">
      <pane ySplit="2" topLeftCell="A3" activePane="bottomLeft" state="frozen"/>
      <selection pane="bottomLeft" activeCell="C5" sqref="C5:C31"/>
    </sheetView>
  </sheetViews>
  <sheetFormatPr defaultRowHeight="13.5"/>
  <cols>
    <col min="1" max="1" width="5.25" bestFit="1" customWidth="1"/>
    <col min="2" max="2" width="23.5" style="1" customWidth="1"/>
    <col min="3" max="3" width="6.875" style="2" bestFit="1" customWidth="1"/>
    <col min="4" max="4" width="7.375" bestFit="1" customWidth="1"/>
    <col min="5" max="5" width="11.25" bestFit="1" customWidth="1"/>
    <col min="6" max="6" width="12.75" bestFit="1" customWidth="1"/>
    <col min="7" max="8" width="5.5" bestFit="1" customWidth="1"/>
    <col min="9" max="9" width="7.875" bestFit="1" customWidth="1"/>
    <col min="10" max="10" width="6.875" bestFit="1" customWidth="1"/>
    <col min="11" max="11" width="6.5" bestFit="1" customWidth="1"/>
    <col min="12" max="12" width="4.875" bestFit="1" customWidth="1"/>
    <col min="13" max="13" width="3.75" bestFit="1" customWidth="1"/>
  </cols>
  <sheetData>
    <row r="1" spans="1:13" ht="27">
      <c r="A1" s="1" t="s">
        <v>53</v>
      </c>
      <c r="B1" s="1" t="s">
        <v>3</v>
      </c>
      <c r="C1" s="2" t="s">
        <v>25</v>
      </c>
      <c r="D1" t="s">
        <v>0</v>
      </c>
      <c r="E1" t="s">
        <v>1</v>
      </c>
      <c r="F1" t="s">
        <v>2</v>
      </c>
      <c r="G1" t="s">
        <v>10</v>
      </c>
      <c r="H1" t="s">
        <v>11</v>
      </c>
      <c r="I1" t="s">
        <v>12</v>
      </c>
      <c r="J1" t="s">
        <v>13</v>
      </c>
      <c r="K1" t="s">
        <v>35</v>
      </c>
      <c r="L1" t="s">
        <v>72</v>
      </c>
    </row>
    <row r="2" spans="1:13" ht="40.5">
      <c r="A2" t="s">
        <v>5</v>
      </c>
      <c r="B2" s="1" t="s">
        <v>6</v>
      </c>
      <c r="C2" s="2">
        <v>3465</v>
      </c>
      <c r="D2" t="s">
        <v>7</v>
      </c>
      <c r="E2" t="s">
        <v>31</v>
      </c>
      <c r="F2" t="s">
        <v>9</v>
      </c>
      <c r="G2">
        <v>62</v>
      </c>
      <c r="H2">
        <v>60</v>
      </c>
      <c r="I2" t="s">
        <v>14</v>
      </c>
      <c r="J2">
        <v>24</v>
      </c>
      <c r="L2">
        <f>H2/2+J2</f>
        <v>54</v>
      </c>
      <c r="M2" t="s">
        <v>27</v>
      </c>
    </row>
    <row r="3" spans="1:13" ht="40.5" hidden="1">
      <c r="B3" s="1" t="s">
        <v>26</v>
      </c>
      <c r="C3" s="2">
        <v>3960</v>
      </c>
      <c r="D3" t="s">
        <v>7</v>
      </c>
      <c r="E3" t="s">
        <v>8</v>
      </c>
      <c r="F3" t="s">
        <v>9</v>
      </c>
      <c r="G3">
        <v>66</v>
      </c>
      <c r="H3">
        <v>65</v>
      </c>
      <c r="I3" t="s">
        <v>14</v>
      </c>
      <c r="J3">
        <v>21</v>
      </c>
      <c r="L3">
        <f t="shared" ref="L3:L29" si="0">H3/2+J3</f>
        <v>53.5</v>
      </c>
      <c r="M3" t="s">
        <v>28</v>
      </c>
    </row>
    <row r="4" spans="1:13" ht="40.5" hidden="1">
      <c r="B4" s="1" t="s">
        <v>26</v>
      </c>
      <c r="C4" s="2">
        <v>3960</v>
      </c>
      <c r="D4" t="s">
        <v>7</v>
      </c>
      <c r="E4" t="s">
        <v>8</v>
      </c>
      <c r="F4" t="s">
        <v>30</v>
      </c>
      <c r="G4">
        <v>66</v>
      </c>
      <c r="H4">
        <v>65</v>
      </c>
      <c r="I4" t="s">
        <v>14</v>
      </c>
      <c r="J4">
        <v>21</v>
      </c>
      <c r="L4">
        <f t="shared" si="0"/>
        <v>53.5</v>
      </c>
      <c r="M4" t="s">
        <v>28</v>
      </c>
    </row>
    <row r="5" spans="1:13" ht="27">
      <c r="A5" t="s">
        <v>151</v>
      </c>
      <c r="B5" s="1" t="s">
        <v>32</v>
      </c>
      <c r="C5" s="2">
        <v>2999</v>
      </c>
      <c r="D5" t="s">
        <v>7</v>
      </c>
      <c r="E5" t="s">
        <v>33</v>
      </c>
      <c r="F5" t="s">
        <v>30</v>
      </c>
      <c r="G5">
        <v>57</v>
      </c>
      <c r="I5" t="s">
        <v>34</v>
      </c>
      <c r="K5" t="s">
        <v>36</v>
      </c>
      <c r="L5">
        <f t="shared" si="0"/>
        <v>0</v>
      </c>
      <c r="M5" t="s">
        <v>27</v>
      </c>
    </row>
    <row r="6" spans="1:13" ht="27" hidden="1">
      <c r="B6" s="1" t="s">
        <v>32</v>
      </c>
      <c r="C6" s="2">
        <v>2999</v>
      </c>
      <c r="D6" t="s">
        <v>7</v>
      </c>
      <c r="E6" t="s">
        <v>33</v>
      </c>
      <c r="F6" t="s">
        <v>9</v>
      </c>
      <c r="G6">
        <v>57</v>
      </c>
      <c r="I6" t="s">
        <v>34</v>
      </c>
      <c r="K6" t="s">
        <v>36</v>
      </c>
      <c r="L6">
        <f t="shared" si="0"/>
        <v>0</v>
      </c>
      <c r="M6" t="s">
        <v>27</v>
      </c>
    </row>
    <row r="7" spans="1:13" ht="27" hidden="1">
      <c r="B7" s="1" t="s">
        <v>38</v>
      </c>
      <c r="C7" s="2">
        <v>2950</v>
      </c>
      <c r="D7" t="s">
        <v>39</v>
      </c>
      <c r="E7" t="s">
        <v>8</v>
      </c>
      <c r="F7" t="s">
        <v>9</v>
      </c>
      <c r="G7">
        <v>68</v>
      </c>
      <c r="H7">
        <v>68</v>
      </c>
      <c r="I7" t="s">
        <v>40</v>
      </c>
      <c r="J7">
        <v>22</v>
      </c>
      <c r="L7">
        <f t="shared" si="0"/>
        <v>56</v>
      </c>
      <c r="M7" t="s">
        <v>27</v>
      </c>
    </row>
    <row r="8" spans="1:13" ht="27" hidden="1">
      <c r="B8" s="1" t="s">
        <v>38</v>
      </c>
      <c r="C8" s="2">
        <v>2950</v>
      </c>
      <c r="D8" t="s">
        <v>39</v>
      </c>
      <c r="E8" t="s">
        <v>8</v>
      </c>
      <c r="F8" t="s">
        <v>30</v>
      </c>
      <c r="G8">
        <v>68</v>
      </c>
      <c r="H8">
        <v>68</v>
      </c>
      <c r="I8" t="s">
        <v>40</v>
      </c>
      <c r="J8">
        <v>22</v>
      </c>
      <c r="L8">
        <f t="shared" si="0"/>
        <v>56</v>
      </c>
      <c r="M8" t="s">
        <v>27</v>
      </c>
    </row>
    <row r="9" spans="1:13" ht="27" hidden="1">
      <c r="B9" s="1" t="s">
        <v>41</v>
      </c>
      <c r="C9" s="2">
        <v>6600</v>
      </c>
      <c r="D9" t="s">
        <v>42</v>
      </c>
      <c r="E9" t="s">
        <v>43</v>
      </c>
      <c r="F9" t="s">
        <v>9</v>
      </c>
      <c r="G9">
        <v>59</v>
      </c>
      <c r="H9">
        <v>54</v>
      </c>
      <c r="I9">
        <v>64.5</v>
      </c>
      <c r="J9">
        <v>30.5</v>
      </c>
      <c r="L9">
        <f t="shared" si="0"/>
        <v>57.5</v>
      </c>
      <c r="M9" t="s">
        <v>27</v>
      </c>
    </row>
    <row r="10" spans="1:13" ht="27" hidden="1">
      <c r="B10" s="1" t="s">
        <v>44</v>
      </c>
      <c r="C10" s="2">
        <v>5500</v>
      </c>
      <c r="D10" t="s">
        <v>42</v>
      </c>
      <c r="E10" t="s">
        <v>43</v>
      </c>
      <c r="F10" t="s">
        <v>9</v>
      </c>
      <c r="G10">
        <v>61</v>
      </c>
      <c r="H10">
        <v>46.5</v>
      </c>
      <c r="I10">
        <v>71.5</v>
      </c>
      <c r="J10">
        <v>62.5</v>
      </c>
      <c r="L10">
        <f t="shared" si="0"/>
        <v>85.75</v>
      </c>
      <c r="M10" t="s">
        <v>27</v>
      </c>
    </row>
    <row r="11" spans="1:13" ht="27" hidden="1">
      <c r="B11" s="1" t="s">
        <v>44</v>
      </c>
      <c r="C11" s="2">
        <v>5500</v>
      </c>
      <c r="D11" t="s">
        <v>42</v>
      </c>
      <c r="E11" t="s">
        <v>43</v>
      </c>
      <c r="F11" t="s">
        <v>30</v>
      </c>
      <c r="G11">
        <v>61</v>
      </c>
      <c r="H11">
        <v>46.5</v>
      </c>
      <c r="I11">
        <v>71.5</v>
      </c>
      <c r="J11">
        <v>62.5</v>
      </c>
      <c r="L11">
        <f t="shared" si="0"/>
        <v>85.75</v>
      </c>
      <c r="M11" t="s">
        <v>27</v>
      </c>
    </row>
    <row r="12" spans="1:13" ht="27" hidden="1">
      <c r="B12" s="1" t="s">
        <v>45</v>
      </c>
      <c r="C12" s="2">
        <v>5940</v>
      </c>
      <c r="D12" t="s">
        <v>46</v>
      </c>
      <c r="E12" t="s">
        <v>8</v>
      </c>
      <c r="F12" s="1" t="s">
        <v>47</v>
      </c>
      <c r="G12">
        <v>59</v>
      </c>
      <c r="H12">
        <v>57</v>
      </c>
      <c r="J12">
        <v>24</v>
      </c>
      <c r="K12">
        <v>70</v>
      </c>
      <c r="L12">
        <f t="shared" si="0"/>
        <v>52.5</v>
      </c>
      <c r="M12" t="s">
        <v>27</v>
      </c>
    </row>
    <row r="13" spans="1:13" ht="27" hidden="1">
      <c r="B13" s="1" t="s">
        <v>45</v>
      </c>
      <c r="C13" s="2">
        <v>5940</v>
      </c>
      <c r="D13" t="s">
        <v>46</v>
      </c>
      <c r="E13" t="s">
        <v>8</v>
      </c>
      <c r="F13" s="1" t="s">
        <v>48</v>
      </c>
      <c r="G13">
        <v>59</v>
      </c>
      <c r="H13">
        <v>57</v>
      </c>
      <c r="J13">
        <v>24</v>
      </c>
      <c r="K13">
        <v>70</v>
      </c>
      <c r="L13">
        <f t="shared" si="0"/>
        <v>52.5</v>
      </c>
      <c r="M13" t="s">
        <v>27</v>
      </c>
    </row>
    <row r="14" spans="1:13" ht="40.5" hidden="1">
      <c r="B14" s="1" t="s">
        <v>49</v>
      </c>
      <c r="C14" s="2">
        <v>3960</v>
      </c>
      <c r="D14" t="s">
        <v>50</v>
      </c>
      <c r="E14" t="s">
        <v>43</v>
      </c>
      <c r="F14" t="s">
        <v>30</v>
      </c>
      <c r="G14">
        <v>66.5</v>
      </c>
      <c r="H14">
        <v>64</v>
      </c>
      <c r="I14">
        <v>71</v>
      </c>
      <c r="J14">
        <v>25</v>
      </c>
      <c r="L14">
        <f t="shared" si="0"/>
        <v>57</v>
      </c>
      <c r="M14" t="s">
        <v>27</v>
      </c>
    </row>
    <row r="15" spans="1:13" ht="40.5" hidden="1">
      <c r="B15" s="1" t="s">
        <v>49</v>
      </c>
      <c r="C15" s="2">
        <v>3960</v>
      </c>
      <c r="D15" t="s">
        <v>50</v>
      </c>
      <c r="E15" t="s">
        <v>43</v>
      </c>
      <c r="F15" t="s">
        <v>9</v>
      </c>
      <c r="G15">
        <v>66.5</v>
      </c>
      <c r="H15">
        <v>64</v>
      </c>
      <c r="I15">
        <v>71</v>
      </c>
      <c r="J15">
        <v>25</v>
      </c>
      <c r="L15">
        <f t="shared" si="0"/>
        <v>57</v>
      </c>
      <c r="M15" t="s">
        <v>27</v>
      </c>
    </row>
    <row r="16" spans="1:13" ht="27" hidden="1">
      <c r="B16" s="1" t="s">
        <v>51</v>
      </c>
      <c r="C16" s="2">
        <v>4950</v>
      </c>
      <c r="D16" t="s">
        <v>52</v>
      </c>
      <c r="E16" t="s">
        <v>43</v>
      </c>
      <c r="F16" t="s">
        <v>9</v>
      </c>
      <c r="G16">
        <v>64.5</v>
      </c>
      <c r="H16">
        <v>64.5</v>
      </c>
      <c r="I16">
        <v>73.5</v>
      </c>
      <c r="J16">
        <v>26</v>
      </c>
      <c r="L16">
        <f t="shared" si="0"/>
        <v>58.25</v>
      </c>
      <c r="M16" t="s">
        <v>27</v>
      </c>
    </row>
    <row r="17" spans="1:13" ht="27" hidden="1">
      <c r="B17" s="1" t="s">
        <v>51</v>
      </c>
      <c r="C17" s="2">
        <v>4950</v>
      </c>
      <c r="D17" t="s">
        <v>52</v>
      </c>
      <c r="E17" t="s">
        <v>43</v>
      </c>
      <c r="F17" t="s">
        <v>30</v>
      </c>
      <c r="G17">
        <v>64.5</v>
      </c>
      <c r="H17">
        <v>64.5</v>
      </c>
      <c r="I17">
        <v>73.5</v>
      </c>
      <c r="J17">
        <v>26</v>
      </c>
      <c r="L17">
        <f t="shared" si="0"/>
        <v>58.25</v>
      </c>
      <c r="M17" t="s">
        <v>27</v>
      </c>
    </row>
    <row r="18" spans="1:13" ht="27" hidden="1">
      <c r="B18" s="1" t="s">
        <v>54</v>
      </c>
      <c r="C18" s="2">
        <v>4400</v>
      </c>
      <c r="D18" t="s">
        <v>55</v>
      </c>
      <c r="E18" t="s">
        <v>43</v>
      </c>
      <c r="F18" t="s">
        <v>30</v>
      </c>
      <c r="G18">
        <v>72</v>
      </c>
      <c r="H18">
        <v>71</v>
      </c>
      <c r="I18" t="s">
        <v>56</v>
      </c>
      <c r="J18">
        <v>28</v>
      </c>
      <c r="L18">
        <f t="shared" si="0"/>
        <v>63.5</v>
      </c>
      <c r="M18" t="s">
        <v>27</v>
      </c>
    </row>
    <row r="19" spans="1:13" ht="27" hidden="1">
      <c r="B19" s="1" t="s">
        <v>54</v>
      </c>
      <c r="C19" s="2">
        <v>4400</v>
      </c>
      <c r="D19" t="s">
        <v>55</v>
      </c>
      <c r="E19" t="s">
        <v>43</v>
      </c>
      <c r="F19" t="s">
        <v>9</v>
      </c>
      <c r="G19">
        <v>72</v>
      </c>
      <c r="H19">
        <v>71</v>
      </c>
      <c r="I19" t="s">
        <v>56</v>
      </c>
      <c r="J19">
        <v>28</v>
      </c>
      <c r="L19">
        <f t="shared" si="0"/>
        <v>63.5</v>
      </c>
      <c r="M19" t="s">
        <v>27</v>
      </c>
    </row>
    <row r="20" spans="1:13" ht="27" hidden="1">
      <c r="B20" s="1" t="s">
        <v>57</v>
      </c>
      <c r="C20" s="2">
        <v>2948</v>
      </c>
      <c r="D20" t="s">
        <v>39</v>
      </c>
      <c r="E20" t="s">
        <v>33</v>
      </c>
      <c r="F20" t="s">
        <v>9</v>
      </c>
      <c r="G20">
        <v>62</v>
      </c>
      <c r="H20">
        <v>48</v>
      </c>
      <c r="K20">
        <v>67</v>
      </c>
      <c r="L20">
        <f t="shared" si="0"/>
        <v>24</v>
      </c>
      <c r="M20" t="s">
        <v>27</v>
      </c>
    </row>
    <row r="21" spans="1:13" ht="27" hidden="1">
      <c r="B21" s="1" t="s">
        <v>57</v>
      </c>
      <c r="C21" s="2">
        <v>2948</v>
      </c>
      <c r="D21" t="s">
        <v>39</v>
      </c>
      <c r="E21" t="s">
        <v>33</v>
      </c>
      <c r="F21" t="s">
        <v>30</v>
      </c>
      <c r="G21">
        <v>62</v>
      </c>
      <c r="H21">
        <v>48</v>
      </c>
      <c r="K21">
        <v>67</v>
      </c>
      <c r="L21">
        <f t="shared" si="0"/>
        <v>24</v>
      </c>
      <c r="M21" t="s">
        <v>27</v>
      </c>
    </row>
    <row r="22" spans="1:13" ht="27">
      <c r="A22" t="s">
        <v>151</v>
      </c>
      <c r="B22" s="1" t="s">
        <v>58</v>
      </c>
      <c r="C22" s="2">
        <v>4950</v>
      </c>
      <c r="D22" t="s">
        <v>39</v>
      </c>
      <c r="E22" t="s">
        <v>59</v>
      </c>
      <c r="F22" t="s">
        <v>30</v>
      </c>
      <c r="G22">
        <v>70</v>
      </c>
      <c r="H22">
        <v>68</v>
      </c>
      <c r="I22">
        <v>68.5</v>
      </c>
      <c r="J22">
        <v>23</v>
      </c>
      <c r="L22">
        <f t="shared" si="0"/>
        <v>57</v>
      </c>
      <c r="M22" t="s">
        <v>27</v>
      </c>
    </row>
    <row r="23" spans="1:13" ht="40.5" hidden="1">
      <c r="B23" s="1" t="s">
        <v>60</v>
      </c>
      <c r="C23" s="2">
        <v>5940</v>
      </c>
      <c r="D23" t="s">
        <v>55</v>
      </c>
      <c r="E23" t="s">
        <v>31</v>
      </c>
      <c r="F23" t="s">
        <v>9</v>
      </c>
      <c r="G23">
        <v>66</v>
      </c>
      <c r="H23">
        <v>61</v>
      </c>
      <c r="I23">
        <v>73</v>
      </c>
      <c r="J23">
        <v>28.5</v>
      </c>
      <c r="L23">
        <f t="shared" si="0"/>
        <v>59</v>
      </c>
      <c r="M23" t="s">
        <v>27</v>
      </c>
    </row>
    <row r="24" spans="1:13" ht="40.5" hidden="1">
      <c r="B24" s="1" t="s">
        <v>60</v>
      </c>
      <c r="C24" s="2">
        <v>5940</v>
      </c>
      <c r="D24" t="s">
        <v>55</v>
      </c>
      <c r="E24" t="s">
        <v>31</v>
      </c>
      <c r="F24" t="s">
        <v>30</v>
      </c>
      <c r="G24">
        <v>66</v>
      </c>
      <c r="H24">
        <v>61</v>
      </c>
      <c r="I24">
        <v>73</v>
      </c>
      <c r="J24">
        <v>28.5</v>
      </c>
      <c r="L24">
        <f t="shared" si="0"/>
        <v>59</v>
      </c>
      <c r="M24" t="s">
        <v>27</v>
      </c>
    </row>
    <row r="25" spans="1:13" ht="27" hidden="1">
      <c r="B25" s="1" t="s">
        <v>61</v>
      </c>
      <c r="C25" s="2">
        <v>5940</v>
      </c>
      <c r="D25" t="s">
        <v>46</v>
      </c>
      <c r="E25" t="s">
        <v>43</v>
      </c>
      <c r="F25" s="1" t="s">
        <v>47</v>
      </c>
      <c r="G25">
        <v>64.5</v>
      </c>
      <c r="H25">
        <v>62</v>
      </c>
      <c r="I25">
        <v>76.5</v>
      </c>
      <c r="J25">
        <v>24</v>
      </c>
      <c r="L25">
        <f t="shared" si="0"/>
        <v>55</v>
      </c>
      <c r="M25" t="s">
        <v>27</v>
      </c>
    </row>
    <row r="26" spans="1:13" ht="27" hidden="1">
      <c r="B26" s="1" t="s">
        <v>61</v>
      </c>
      <c r="C26" s="2">
        <v>5940</v>
      </c>
      <c r="D26" t="s">
        <v>46</v>
      </c>
      <c r="E26" t="s">
        <v>43</v>
      </c>
      <c r="F26" s="1" t="s">
        <v>48</v>
      </c>
      <c r="G26">
        <v>64.5</v>
      </c>
      <c r="H26">
        <v>62</v>
      </c>
      <c r="I26">
        <v>76.5</v>
      </c>
      <c r="J26">
        <v>24</v>
      </c>
      <c r="L26">
        <f t="shared" si="0"/>
        <v>55</v>
      </c>
      <c r="M26" t="s">
        <v>27</v>
      </c>
    </row>
    <row r="27" spans="1:13" ht="27" hidden="1">
      <c r="B27" s="1" t="s">
        <v>61</v>
      </c>
      <c r="C27" s="2">
        <v>5940</v>
      </c>
      <c r="D27" t="s">
        <v>46</v>
      </c>
      <c r="E27" t="s">
        <v>43</v>
      </c>
      <c r="F27" s="1" t="s">
        <v>62</v>
      </c>
      <c r="G27">
        <v>64.5</v>
      </c>
      <c r="H27">
        <v>62</v>
      </c>
      <c r="I27">
        <v>76.5</v>
      </c>
      <c r="J27">
        <v>24</v>
      </c>
      <c r="L27">
        <f t="shared" si="0"/>
        <v>55</v>
      </c>
      <c r="M27" t="s">
        <v>27</v>
      </c>
    </row>
    <row r="28" spans="1:13" ht="27" hidden="1">
      <c r="B28" s="1" t="s">
        <v>64</v>
      </c>
      <c r="C28" s="2">
        <v>7700</v>
      </c>
      <c r="D28" t="s">
        <v>63</v>
      </c>
      <c r="E28" t="s">
        <v>65</v>
      </c>
      <c r="F28" s="1" t="s">
        <v>9</v>
      </c>
      <c r="I28">
        <v>70</v>
      </c>
      <c r="L28">
        <f t="shared" si="0"/>
        <v>0</v>
      </c>
      <c r="M28" t="s">
        <v>27</v>
      </c>
    </row>
    <row r="29" spans="1:13" ht="27" hidden="1">
      <c r="B29" s="1" t="s">
        <v>66</v>
      </c>
      <c r="C29" s="2">
        <v>8800</v>
      </c>
      <c r="D29" t="s">
        <v>67</v>
      </c>
      <c r="E29" t="s">
        <v>43</v>
      </c>
      <c r="F29" s="1" t="s">
        <v>68</v>
      </c>
      <c r="G29">
        <v>65</v>
      </c>
      <c r="H29">
        <v>60</v>
      </c>
      <c r="K29">
        <v>63</v>
      </c>
      <c r="L29">
        <f t="shared" si="0"/>
        <v>30</v>
      </c>
      <c r="M29" t="s">
        <v>27</v>
      </c>
    </row>
    <row r="30" spans="1:13" ht="27" hidden="1">
      <c r="B30" s="1" t="s">
        <v>69</v>
      </c>
      <c r="C30" s="2">
        <v>8250</v>
      </c>
      <c r="D30" t="s">
        <v>70</v>
      </c>
      <c r="E30" t="s">
        <v>8</v>
      </c>
      <c r="F30" s="1" t="s">
        <v>71</v>
      </c>
      <c r="G30">
        <v>58</v>
      </c>
      <c r="H30">
        <v>66.5</v>
      </c>
      <c r="L30">
        <v>49</v>
      </c>
      <c r="M30" t="s">
        <v>27</v>
      </c>
    </row>
    <row r="31" spans="1:13" ht="27">
      <c r="A31" t="s">
        <v>151</v>
      </c>
      <c r="B31" s="1" t="s">
        <v>73</v>
      </c>
      <c r="C31" s="2">
        <v>1980</v>
      </c>
      <c r="D31" t="s">
        <v>7</v>
      </c>
      <c r="E31" t="s">
        <v>33</v>
      </c>
      <c r="F31" s="1" t="s">
        <v>9</v>
      </c>
      <c r="G31">
        <v>57</v>
      </c>
      <c r="I31" t="s">
        <v>34</v>
      </c>
      <c r="K31" t="s">
        <v>36</v>
      </c>
      <c r="L31">
        <f t="shared" ref="L31:L35" si="1">H31/2+J31</f>
        <v>0</v>
      </c>
      <c r="M31" t="s">
        <v>27</v>
      </c>
    </row>
    <row r="32" spans="1:13" ht="27" hidden="1">
      <c r="B32" s="1" t="s">
        <v>73</v>
      </c>
      <c r="C32" s="2">
        <v>1980</v>
      </c>
      <c r="D32" t="s">
        <v>7</v>
      </c>
      <c r="E32" t="s">
        <v>33</v>
      </c>
      <c r="F32" s="1" t="s">
        <v>30</v>
      </c>
      <c r="G32">
        <v>57</v>
      </c>
      <c r="I32" t="s">
        <v>34</v>
      </c>
      <c r="K32" t="s">
        <v>36</v>
      </c>
      <c r="L32">
        <f t="shared" si="1"/>
        <v>0</v>
      </c>
      <c r="M32" t="s">
        <v>27</v>
      </c>
    </row>
    <row r="33" spans="1:13" ht="27" hidden="1">
      <c r="B33" s="1" t="s">
        <v>74</v>
      </c>
      <c r="C33" s="2">
        <v>6600</v>
      </c>
      <c r="D33" t="s">
        <v>42</v>
      </c>
      <c r="E33" t="s">
        <v>75</v>
      </c>
      <c r="F33" s="1" t="s">
        <v>30</v>
      </c>
      <c r="G33">
        <v>65.5</v>
      </c>
      <c r="H33">
        <v>55</v>
      </c>
      <c r="J33">
        <v>26</v>
      </c>
      <c r="K33">
        <v>75</v>
      </c>
      <c r="L33">
        <f t="shared" si="1"/>
        <v>53.5</v>
      </c>
      <c r="M33" t="s">
        <v>27</v>
      </c>
    </row>
    <row r="34" spans="1:13" ht="27" hidden="1">
      <c r="B34" s="1" t="s">
        <v>74</v>
      </c>
      <c r="C34" s="2">
        <v>6600</v>
      </c>
      <c r="D34" t="s">
        <v>42</v>
      </c>
      <c r="E34" t="s">
        <v>75</v>
      </c>
      <c r="F34" s="1" t="s">
        <v>9</v>
      </c>
      <c r="G34">
        <v>65.5</v>
      </c>
      <c r="H34">
        <v>55</v>
      </c>
      <c r="J34">
        <v>26</v>
      </c>
      <c r="K34">
        <v>75</v>
      </c>
      <c r="L34">
        <f t="shared" si="1"/>
        <v>53.5</v>
      </c>
      <c r="M34" t="s">
        <v>27</v>
      </c>
    </row>
    <row r="35" spans="1:13" ht="27" hidden="1">
      <c r="A35" t="s">
        <v>155</v>
      </c>
      <c r="B35" s="1" t="s">
        <v>76</v>
      </c>
      <c r="C35" s="2">
        <v>5940</v>
      </c>
      <c r="D35" t="s">
        <v>46</v>
      </c>
      <c r="E35" t="s">
        <v>31</v>
      </c>
      <c r="F35" s="1" t="s">
        <v>9</v>
      </c>
      <c r="G35">
        <v>81</v>
      </c>
      <c r="H35">
        <v>58</v>
      </c>
      <c r="I35">
        <v>70</v>
      </c>
      <c r="J35">
        <v>28</v>
      </c>
      <c r="L35">
        <f t="shared" si="1"/>
        <v>57</v>
      </c>
      <c r="M35" t="s">
        <v>28</v>
      </c>
    </row>
    <row r="36" spans="1:13" hidden="1">
      <c r="B36" s="1" t="s">
        <v>77</v>
      </c>
      <c r="C36" s="2">
        <v>13750</v>
      </c>
      <c r="D36" t="s">
        <v>70</v>
      </c>
      <c r="E36" t="s">
        <v>78</v>
      </c>
      <c r="F36" s="1" t="s">
        <v>9</v>
      </c>
      <c r="G36">
        <v>61</v>
      </c>
      <c r="I36">
        <v>79</v>
      </c>
      <c r="L36">
        <v>83.5</v>
      </c>
      <c r="M36" t="s">
        <v>37</v>
      </c>
    </row>
    <row r="37" spans="1:13" ht="27" hidden="1">
      <c r="B37" s="1" t="s">
        <v>79</v>
      </c>
      <c r="C37" s="2">
        <v>12650</v>
      </c>
      <c r="D37" t="s">
        <v>70</v>
      </c>
      <c r="E37" t="s">
        <v>78</v>
      </c>
      <c r="F37" s="1" t="s">
        <v>71</v>
      </c>
      <c r="G37">
        <v>60.5</v>
      </c>
      <c r="I37">
        <v>83</v>
      </c>
      <c r="L37">
        <v>60.5</v>
      </c>
      <c r="M37" t="s">
        <v>27</v>
      </c>
    </row>
    <row r="38" spans="1:13" ht="27" hidden="1">
      <c r="B38" s="1" t="s">
        <v>80</v>
      </c>
      <c r="C38" s="2">
        <v>6930</v>
      </c>
      <c r="D38" t="s">
        <v>81</v>
      </c>
      <c r="E38" t="s">
        <v>78</v>
      </c>
      <c r="F38" s="1" t="s">
        <v>9</v>
      </c>
      <c r="G38">
        <v>55</v>
      </c>
      <c r="H38">
        <v>49</v>
      </c>
      <c r="I38">
        <v>72</v>
      </c>
      <c r="J38">
        <v>35</v>
      </c>
      <c r="L38">
        <f t="shared" ref="L38:L40" si="2">H38/2+J38</f>
        <v>59.5</v>
      </c>
      <c r="M38" t="s">
        <v>28</v>
      </c>
    </row>
    <row r="39" spans="1:13" ht="27" hidden="1">
      <c r="B39" s="1" t="s">
        <v>82</v>
      </c>
      <c r="C39" s="2">
        <v>6930</v>
      </c>
      <c r="D39" t="s">
        <v>83</v>
      </c>
      <c r="E39" t="s">
        <v>78</v>
      </c>
      <c r="F39" s="1" t="s">
        <v>9</v>
      </c>
      <c r="G39">
        <v>61</v>
      </c>
      <c r="H39">
        <v>51</v>
      </c>
      <c r="I39">
        <v>56</v>
      </c>
      <c r="J39">
        <v>34.5</v>
      </c>
      <c r="L39">
        <f t="shared" si="2"/>
        <v>60</v>
      </c>
      <c r="M39" t="s">
        <v>27</v>
      </c>
    </row>
    <row r="40" spans="1:13" ht="40.5" hidden="1">
      <c r="B40" s="1" t="s">
        <v>152</v>
      </c>
      <c r="C40" s="2">
        <v>6600</v>
      </c>
      <c r="D40" t="s">
        <v>7</v>
      </c>
      <c r="E40" t="s">
        <v>31</v>
      </c>
      <c r="F40" t="s">
        <v>153</v>
      </c>
      <c r="G40">
        <v>76</v>
      </c>
      <c r="H40">
        <v>64</v>
      </c>
      <c r="I40">
        <v>66</v>
      </c>
      <c r="J40">
        <v>21</v>
      </c>
      <c r="L40">
        <f t="shared" si="2"/>
        <v>53</v>
      </c>
      <c r="M40" t="s">
        <v>28</v>
      </c>
    </row>
    <row r="41" spans="1:13" ht="40.5" hidden="1">
      <c r="B41" s="1" t="s">
        <v>152</v>
      </c>
      <c r="C41" s="2">
        <v>6600</v>
      </c>
      <c r="D41" t="s">
        <v>7</v>
      </c>
      <c r="E41" t="s">
        <v>31</v>
      </c>
      <c r="F41" t="s">
        <v>154</v>
      </c>
      <c r="G41">
        <v>76</v>
      </c>
      <c r="H41">
        <v>64</v>
      </c>
      <c r="I41">
        <v>66</v>
      </c>
      <c r="J41">
        <v>21</v>
      </c>
      <c r="L41">
        <f t="shared" ref="L41" si="3">H41/2+J41</f>
        <v>53</v>
      </c>
      <c r="M41" t="s">
        <v>28</v>
      </c>
    </row>
  </sheetData>
  <autoFilter ref="A2:M41">
    <filterColumn colId="0">
      <filters>
        <filter val="△"/>
      </filters>
    </filterColumn>
  </autoFilter>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1"/>
  <sheetViews>
    <sheetView tabSelected="1" zoomScale="385" zoomScaleNormal="385" workbookViewId="0">
      <pane ySplit="1" topLeftCell="A2" activePane="bottomLeft" state="frozen"/>
      <selection pane="bottomLeft" activeCell="J9" activeCellId="1" sqref="J5:J6 J9"/>
    </sheetView>
  </sheetViews>
  <sheetFormatPr defaultRowHeight="13.5"/>
  <cols>
    <col min="2" max="2" width="23.5" style="1" customWidth="1"/>
    <col min="3" max="3" width="6.875" style="2" bestFit="1" customWidth="1"/>
    <col min="4" max="4" width="7.375" bestFit="1" customWidth="1"/>
    <col min="6" max="6" width="3.375" bestFit="1" customWidth="1"/>
    <col min="7" max="7" width="7.875" bestFit="1" customWidth="1"/>
    <col min="8" max="8" width="5.75" bestFit="1" customWidth="1"/>
    <col min="9" max="10" width="5.5" bestFit="1" customWidth="1"/>
    <col min="12" max="12" width="7.75" bestFit="1" customWidth="1"/>
    <col min="13" max="13" width="8.25" bestFit="1" customWidth="1"/>
    <col min="14" max="14" width="4.875" bestFit="1" customWidth="1"/>
  </cols>
  <sheetData>
    <row r="1" spans="1:14">
      <c r="A1" t="s">
        <v>4</v>
      </c>
      <c r="B1" s="1" t="s">
        <v>3</v>
      </c>
      <c r="C1" s="2" t="s">
        <v>25</v>
      </c>
      <c r="D1" t="s">
        <v>0</v>
      </c>
      <c r="E1" t="s">
        <v>1</v>
      </c>
      <c r="F1" t="s">
        <v>2</v>
      </c>
      <c r="G1" t="s">
        <v>18</v>
      </c>
      <c r="H1" t="s">
        <v>19</v>
      </c>
      <c r="I1" t="s">
        <v>20</v>
      </c>
      <c r="J1" t="s">
        <v>21</v>
      </c>
      <c r="K1" t="s">
        <v>97</v>
      </c>
      <c r="L1" t="s">
        <v>22</v>
      </c>
      <c r="M1" t="s">
        <v>23</v>
      </c>
    </row>
    <row r="2" spans="1:14">
      <c r="B2" s="1" t="s">
        <v>123</v>
      </c>
      <c r="C2" s="2">
        <v>8800</v>
      </c>
      <c r="D2" t="s">
        <v>42</v>
      </c>
      <c r="E2" t="s">
        <v>119</v>
      </c>
      <c r="F2" t="s">
        <v>9</v>
      </c>
      <c r="G2" t="s">
        <v>124</v>
      </c>
      <c r="H2">
        <v>110</v>
      </c>
      <c r="I2">
        <v>45</v>
      </c>
      <c r="J2">
        <v>33</v>
      </c>
      <c r="K2">
        <f>I2+J2</f>
        <v>78</v>
      </c>
      <c r="L2">
        <v>86</v>
      </c>
      <c r="M2">
        <v>96</v>
      </c>
      <c r="N2" t="s">
        <v>37</v>
      </c>
    </row>
    <row r="3" spans="1:14">
      <c r="B3" s="1" t="s">
        <v>118</v>
      </c>
      <c r="C3" s="2">
        <v>5940</v>
      </c>
      <c r="D3" t="s">
        <v>46</v>
      </c>
      <c r="E3" t="s">
        <v>119</v>
      </c>
      <c r="F3" t="s">
        <v>9</v>
      </c>
      <c r="G3" t="s">
        <v>120</v>
      </c>
      <c r="H3">
        <v>117</v>
      </c>
      <c r="I3">
        <v>29.5</v>
      </c>
      <c r="J3">
        <v>36</v>
      </c>
      <c r="K3">
        <f>I3+J3</f>
        <v>65.5</v>
      </c>
      <c r="L3">
        <v>86</v>
      </c>
      <c r="M3">
        <v>78</v>
      </c>
      <c r="N3" t="s">
        <v>29</v>
      </c>
    </row>
    <row r="4" spans="1:14">
      <c r="B4" s="1" t="s">
        <v>108</v>
      </c>
      <c r="C4" s="2">
        <v>7920</v>
      </c>
      <c r="D4" t="s">
        <v>42</v>
      </c>
      <c r="E4" t="s">
        <v>90</v>
      </c>
      <c r="F4" t="s">
        <v>9</v>
      </c>
      <c r="G4" t="s">
        <v>109</v>
      </c>
      <c r="H4">
        <v>106</v>
      </c>
      <c r="I4">
        <v>38</v>
      </c>
      <c r="J4">
        <v>53.5</v>
      </c>
      <c r="K4">
        <f>I4+J4</f>
        <v>91.5</v>
      </c>
      <c r="L4">
        <v>82</v>
      </c>
      <c r="M4">
        <v>87</v>
      </c>
      <c r="N4" t="s">
        <v>28</v>
      </c>
    </row>
    <row r="5" spans="1:14" ht="27">
      <c r="B5" s="1" t="s">
        <v>89</v>
      </c>
      <c r="C5" s="2">
        <v>7920</v>
      </c>
      <c r="D5" t="s">
        <v>7</v>
      </c>
      <c r="E5" t="s">
        <v>90</v>
      </c>
      <c r="F5" t="s">
        <v>9</v>
      </c>
      <c r="G5" t="s">
        <v>91</v>
      </c>
      <c r="H5">
        <v>127</v>
      </c>
      <c r="I5">
        <v>45.5</v>
      </c>
      <c r="J5">
        <v>56.5</v>
      </c>
      <c r="K5">
        <f>I5+J5</f>
        <v>102</v>
      </c>
      <c r="L5">
        <v>44</v>
      </c>
      <c r="M5">
        <v>50</v>
      </c>
      <c r="N5" t="s">
        <v>28</v>
      </c>
    </row>
    <row r="6" spans="1:14">
      <c r="B6" s="1" t="s">
        <v>98</v>
      </c>
      <c r="C6" s="2">
        <v>5500</v>
      </c>
      <c r="D6" t="s">
        <v>42</v>
      </c>
      <c r="E6" t="s">
        <v>90</v>
      </c>
      <c r="F6" t="s">
        <v>9</v>
      </c>
      <c r="G6" t="s">
        <v>99</v>
      </c>
      <c r="H6">
        <v>102</v>
      </c>
      <c r="I6">
        <v>37</v>
      </c>
      <c r="J6">
        <v>58</v>
      </c>
      <c r="K6">
        <f>I6+J6</f>
        <v>95</v>
      </c>
      <c r="L6">
        <v>72</v>
      </c>
      <c r="M6">
        <v>80</v>
      </c>
      <c r="N6" t="s">
        <v>28</v>
      </c>
    </row>
    <row r="7" spans="1:14">
      <c r="B7" s="1" t="s">
        <v>85</v>
      </c>
      <c r="C7" s="2">
        <v>8800</v>
      </c>
      <c r="D7" t="s">
        <v>46</v>
      </c>
      <c r="E7" t="s">
        <v>86</v>
      </c>
      <c r="F7" t="s">
        <v>9</v>
      </c>
      <c r="G7">
        <v>69</v>
      </c>
      <c r="H7">
        <v>107</v>
      </c>
      <c r="I7">
        <v>33</v>
      </c>
      <c r="J7">
        <v>60</v>
      </c>
      <c r="K7">
        <f>I7+J7</f>
        <v>93</v>
      </c>
      <c r="L7">
        <v>81</v>
      </c>
      <c r="M7">
        <v>50</v>
      </c>
      <c r="N7" t="s">
        <v>29</v>
      </c>
    </row>
    <row r="8" spans="1:14" ht="27">
      <c r="B8" s="1" t="s">
        <v>116</v>
      </c>
      <c r="C8" s="2">
        <v>12100</v>
      </c>
      <c r="D8" t="s">
        <v>7</v>
      </c>
      <c r="E8" t="s">
        <v>90</v>
      </c>
      <c r="F8" t="s">
        <v>9</v>
      </c>
      <c r="G8" t="s">
        <v>117</v>
      </c>
      <c r="H8">
        <v>108</v>
      </c>
      <c r="I8">
        <v>47</v>
      </c>
      <c r="J8">
        <v>61</v>
      </c>
      <c r="K8">
        <f>I8+J8</f>
        <v>108</v>
      </c>
      <c r="L8">
        <v>80</v>
      </c>
      <c r="M8">
        <v>96</v>
      </c>
      <c r="N8" t="s">
        <v>28</v>
      </c>
    </row>
    <row r="9" spans="1:14" ht="40.5">
      <c r="A9" t="s">
        <v>151</v>
      </c>
      <c r="B9" s="1" t="s">
        <v>121</v>
      </c>
      <c r="C9" s="2">
        <v>6600</v>
      </c>
      <c r="D9" t="s">
        <v>55</v>
      </c>
      <c r="E9" t="s">
        <v>90</v>
      </c>
      <c r="F9" t="s">
        <v>9</v>
      </c>
      <c r="G9" t="s">
        <v>122</v>
      </c>
      <c r="H9">
        <v>113</v>
      </c>
      <c r="I9">
        <v>39.799999999999997</v>
      </c>
      <c r="J9">
        <v>61</v>
      </c>
      <c r="K9">
        <f>I9+J9</f>
        <v>100.8</v>
      </c>
      <c r="L9">
        <v>81.400000000000006</v>
      </c>
      <c r="M9">
        <v>95</v>
      </c>
      <c r="N9" t="s">
        <v>29</v>
      </c>
    </row>
    <row r="10" spans="1:14" ht="27">
      <c r="A10" t="s">
        <v>5</v>
      </c>
      <c r="B10" s="1" t="s">
        <v>15</v>
      </c>
      <c r="C10" s="2">
        <v>6600</v>
      </c>
      <c r="D10" t="s">
        <v>16</v>
      </c>
      <c r="E10" t="s">
        <v>17</v>
      </c>
      <c r="F10" t="s">
        <v>9</v>
      </c>
      <c r="G10" t="s">
        <v>24</v>
      </c>
      <c r="H10">
        <v>108</v>
      </c>
      <c r="I10">
        <v>35</v>
      </c>
      <c r="J10">
        <v>63.5</v>
      </c>
      <c r="K10">
        <f>I10+J10</f>
        <v>98.5</v>
      </c>
      <c r="L10">
        <v>77</v>
      </c>
      <c r="M10">
        <v>60</v>
      </c>
      <c r="N10" t="s">
        <v>28</v>
      </c>
    </row>
    <row r="11" spans="1:14" ht="27">
      <c r="B11" s="1" t="s">
        <v>92</v>
      </c>
      <c r="C11" s="2">
        <v>7920</v>
      </c>
      <c r="D11" t="s">
        <v>7</v>
      </c>
      <c r="E11" t="s">
        <v>93</v>
      </c>
      <c r="F11" t="s">
        <v>9</v>
      </c>
      <c r="G11" t="s">
        <v>94</v>
      </c>
      <c r="H11">
        <v>117</v>
      </c>
      <c r="I11">
        <v>40</v>
      </c>
      <c r="J11">
        <v>64.5</v>
      </c>
      <c r="K11">
        <f>I11+J11</f>
        <v>104.5</v>
      </c>
      <c r="L11">
        <v>74</v>
      </c>
      <c r="M11">
        <v>64</v>
      </c>
      <c r="N11" t="s">
        <v>28</v>
      </c>
    </row>
    <row r="12" spans="1:14">
      <c r="B12" s="1" t="s">
        <v>110</v>
      </c>
      <c r="C12" s="2">
        <v>6930</v>
      </c>
      <c r="D12" t="s">
        <v>42</v>
      </c>
      <c r="E12" t="s">
        <v>90</v>
      </c>
      <c r="F12" t="s">
        <v>9</v>
      </c>
      <c r="G12" t="s">
        <v>111</v>
      </c>
      <c r="H12">
        <v>93</v>
      </c>
      <c r="I12">
        <v>31.5</v>
      </c>
      <c r="J12">
        <v>65</v>
      </c>
      <c r="K12">
        <f>I12+J12</f>
        <v>96.5</v>
      </c>
      <c r="L12">
        <v>61</v>
      </c>
      <c r="M12">
        <v>76</v>
      </c>
      <c r="N12" t="s">
        <v>29</v>
      </c>
    </row>
    <row r="13" spans="1:14" ht="27">
      <c r="B13" s="1" t="s">
        <v>96</v>
      </c>
      <c r="C13" s="2">
        <v>7700</v>
      </c>
      <c r="D13" t="s">
        <v>42</v>
      </c>
      <c r="E13" t="s">
        <v>90</v>
      </c>
      <c r="F13" t="s">
        <v>9</v>
      </c>
      <c r="G13">
        <v>70</v>
      </c>
      <c r="H13">
        <v>111</v>
      </c>
      <c r="I13">
        <v>34</v>
      </c>
      <c r="J13">
        <v>66</v>
      </c>
      <c r="K13">
        <f>I13+J13</f>
        <v>100</v>
      </c>
      <c r="L13">
        <v>72</v>
      </c>
      <c r="M13">
        <v>128</v>
      </c>
      <c r="N13" t="s">
        <v>29</v>
      </c>
    </row>
    <row r="14" spans="1:14" ht="27">
      <c r="B14" s="1" t="s">
        <v>100</v>
      </c>
      <c r="C14" s="2">
        <v>7920</v>
      </c>
      <c r="D14" t="s">
        <v>101</v>
      </c>
      <c r="E14" t="s">
        <v>93</v>
      </c>
      <c r="F14" t="s">
        <v>9</v>
      </c>
      <c r="G14">
        <v>74</v>
      </c>
      <c r="H14">
        <v>111</v>
      </c>
      <c r="I14">
        <v>38</v>
      </c>
      <c r="J14">
        <v>66</v>
      </c>
      <c r="K14">
        <f>I14+J14</f>
        <v>104</v>
      </c>
      <c r="L14">
        <v>76</v>
      </c>
      <c r="M14">
        <v>66</v>
      </c>
      <c r="N14" t="s">
        <v>28</v>
      </c>
    </row>
    <row r="15" spans="1:14" ht="27">
      <c r="B15" s="1" t="s">
        <v>84</v>
      </c>
      <c r="C15" s="2">
        <v>5500</v>
      </c>
      <c r="D15" t="s">
        <v>46</v>
      </c>
      <c r="E15" t="s">
        <v>86</v>
      </c>
      <c r="F15" t="s">
        <v>9</v>
      </c>
      <c r="G15">
        <v>68</v>
      </c>
      <c r="H15">
        <v>92</v>
      </c>
      <c r="I15">
        <v>27</v>
      </c>
      <c r="J15">
        <v>68</v>
      </c>
      <c r="K15">
        <f>I15+J15</f>
        <v>95</v>
      </c>
      <c r="L15">
        <v>61</v>
      </c>
      <c r="M15">
        <v>60</v>
      </c>
      <c r="N15" t="s">
        <v>87</v>
      </c>
    </row>
    <row r="16" spans="1:14" ht="40.5">
      <c r="B16" s="1" t="s">
        <v>102</v>
      </c>
      <c r="C16" s="2">
        <v>8800</v>
      </c>
      <c r="D16" t="s">
        <v>103</v>
      </c>
      <c r="E16" t="s">
        <v>90</v>
      </c>
      <c r="F16" t="s">
        <v>9</v>
      </c>
      <c r="G16" t="s">
        <v>104</v>
      </c>
      <c r="H16">
        <v>127</v>
      </c>
      <c r="I16">
        <v>34</v>
      </c>
      <c r="J16">
        <v>68</v>
      </c>
      <c r="K16">
        <f>I16+J16</f>
        <v>102</v>
      </c>
      <c r="L16">
        <v>81</v>
      </c>
      <c r="M16">
        <v>72</v>
      </c>
      <c r="N16" t="s">
        <v>28</v>
      </c>
    </row>
    <row r="17" spans="2:14" ht="27">
      <c r="B17" s="1" t="s">
        <v>112</v>
      </c>
      <c r="C17" s="2">
        <v>7920</v>
      </c>
      <c r="D17" t="s">
        <v>42</v>
      </c>
      <c r="E17" t="s">
        <v>90</v>
      </c>
      <c r="F17" t="s">
        <v>9</v>
      </c>
      <c r="G17" t="s">
        <v>113</v>
      </c>
      <c r="H17">
        <v>95</v>
      </c>
      <c r="I17">
        <v>28</v>
      </c>
      <c r="J17">
        <v>68</v>
      </c>
      <c r="K17">
        <f>I17+J17</f>
        <v>96</v>
      </c>
      <c r="L17">
        <v>68</v>
      </c>
      <c r="M17">
        <v>80</v>
      </c>
      <c r="N17" t="s">
        <v>29</v>
      </c>
    </row>
    <row r="18" spans="2:14" ht="40.5">
      <c r="B18" s="1" t="s">
        <v>114</v>
      </c>
      <c r="C18" s="2">
        <v>7700</v>
      </c>
      <c r="D18" t="s">
        <v>7</v>
      </c>
      <c r="E18" t="s">
        <v>86</v>
      </c>
      <c r="F18" t="s">
        <v>9</v>
      </c>
      <c r="G18" t="s">
        <v>115</v>
      </c>
      <c r="H18">
        <v>112</v>
      </c>
      <c r="I18">
        <v>39.5</v>
      </c>
      <c r="J18">
        <v>68</v>
      </c>
      <c r="K18">
        <f>I18+J18</f>
        <v>107.5</v>
      </c>
      <c r="L18">
        <v>70</v>
      </c>
      <c r="M18">
        <v>63</v>
      </c>
      <c r="N18" t="s">
        <v>29</v>
      </c>
    </row>
    <row r="19" spans="2:14" ht="27">
      <c r="B19" s="1" t="s">
        <v>88</v>
      </c>
      <c r="C19" s="2">
        <v>5500</v>
      </c>
      <c r="D19" t="s">
        <v>46</v>
      </c>
      <c r="E19" s="1" t="s">
        <v>86</v>
      </c>
      <c r="F19" t="s">
        <v>9</v>
      </c>
      <c r="G19">
        <v>66</v>
      </c>
      <c r="H19">
        <v>88</v>
      </c>
      <c r="I19">
        <v>27</v>
      </c>
      <c r="J19">
        <v>69</v>
      </c>
      <c r="K19">
        <f>I19+J19</f>
        <v>96</v>
      </c>
      <c r="L19">
        <v>56</v>
      </c>
      <c r="M19">
        <v>60</v>
      </c>
      <c r="N19" t="s">
        <v>87</v>
      </c>
    </row>
    <row r="20" spans="2:14" ht="40.5">
      <c r="B20" s="1" t="s">
        <v>105</v>
      </c>
      <c r="C20" s="2">
        <v>6600</v>
      </c>
      <c r="D20" t="s">
        <v>106</v>
      </c>
      <c r="E20" t="s">
        <v>90</v>
      </c>
      <c r="F20" t="s">
        <v>9</v>
      </c>
      <c r="G20" t="s">
        <v>107</v>
      </c>
      <c r="H20">
        <v>111</v>
      </c>
      <c r="I20">
        <v>31</v>
      </c>
      <c r="J20">
        <v>69</v>
      </c>
      <c r="K20">
        <f>I20+J20</f>
        <v>100</v>
      </c>
      <c r="L20">
        <v>73</v>
      </c>
      <c r="M20">
        <v>64</v>
      </c>
      <c r="N20" t="s">
        <v>28</v>
      </c>
    </row>
    <row r="21" spans="2:14" ht="27">
      <c r="B21" s="1" t="s">
        <v>95</v>
      </c>
      <c r="C21" s="2">
        <v>6600</v>
      </c>
      <c r="D21" t="s">
        <v>7</v>
      </c>
      <c r="E21" t="s">
        <v>90</v>
      </c>
      <c r="F21" t="s">
        <v>9</v>
      </c>
      <c r="G21">
        <v>70</v>
      </c>
      <c r="H21">
        <v>100</v>
      </c>
      <c r="I21">
        <v>36</v>
      </c>
      <c r="J21">
        <v>72</v>
      </c>
      <c r="K21">
        <f>I21+J21</f>
        <v>108</v>
      </c>
      <c r="L21">
        <v>68</v>
      </c>
      <c r="M21">
        <v>56</v>
      </c>
      <c r="N21" t="s">
        <v>28</v>
      </c>
    </row>
  </sheetData>
  <autoFilter ref="A1:N21">
    <sortState ref="A2:N21">
      <sortCondition ref="J1"/>
    </sortState>
  </autoFilter>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1"/>
  <sheetViews>
    <sheetView zoomScale="400" zoomScaleNormal="400" workbookViewId="0">
      <selection activeCell="A6" sqref="A6"/>
    </sheetView>
  </sheetViews>
  <sheetFormatPr defaultRowHeight="13.5"/>
  <cols>
    <col min="2" max="2" width="18" style="1" customWidth="1"/>
    <col min="3" max="3" width="9" style="4"/>
  </cols>
  <sheetData>
    <row r="1" spans="1:8">
      <c r="A1" t="s">
        <v>4</v>
      </c>
      <c r="B1" s="1" t="s">
        <v>3</v>
      </c>
      <c r="C1" s="4" t="s">
        <v>25</v>
      </c>
      <c r="D1" t="s">
        <v>0</v>
      </c>
      <c r="E1" t="s">
        <v>1</v>
      </c>
      <c r="F1" t="s">
        <v>2</v>
      </c>
      <c r="G1" t="s">
        <v>126</v>
      </c>
    </row>
    <row r="2" spans="1:8" ht="27">
      <c r="B2" s="1" t="s">
        <v>125</v>
      </c>
      <c r="C2" s="4">
        <v>11000</v>
      </c>
      <c r="D2" t="s">
        <v>42</v>
      </c>
      <c r="E2" t="s">
        <v>128</v>
      </c>
      <c r="F2" t="s">
        <v>9</v>
      </c>
      <c r="G2" t="s">
        <v>133</v>
      </c>
      <c r="H2" t="s">
        <v>27</v>
      </c>
    </row>
    <row r="3" spans="1:8" ht="27">
      <c r="B3" s="1" t="s">
        <v>129</v>
      </c>
      <c r="C3" s="4">
        <v>4600</v>
      </c>
      <c r="D3" t="s">
        <v>130</v>
      </c>
      <c r="E3" t="s">
        <v>131</v>
      </c>
      <c r="F3" t="s">
        <v>9</v>
      </c>
      <c r="G3" t="s">
        <v>132</v>
      </c>
      <c r="H3" t="s">
        <v>37</v>
      </c>
    </row>
    <row r="4" spans="1:8" ht="27">
      <c r="B4" s="1" t="s">
        <v>134</v>
      </c>
      <c r="C4" s="4">
        <v>7600</v>
      </c>
      <c r="D4" t="s">
        <v>135</v>
      </c>
      <c r="E4" t="s">
        <v>127</v>
      </c>
      <c r="F4" t="s">
        <v>9</v>
      </c>
      <c r="G4">
        <v>26.5</v>
      </c>
      <c r="H4" t="s">
        <v>27</v>
      </c>
    </row>
    <row r="5" spans="1:8" ht="27">
      <c r="B5" s="1" t="s">
        <v>136</v>
      </c>
      <c r="C5" s="4">
        <v>6930</v>
      </c>
      <c r="D5" t="s">
        <v>137</v>
      </c>
      <c r="E5" t="s">
        <v>138</v>
      </c>
      <c r="F5" t="s">
        <v>9</v>
      </c>
      <c r="G5">
        <v>26</v>
      </c>
      <c r="H5" t="s">
        <v>27</v>
      </c>
    </row>
    <row r="6" spans="1:8" ht="40.5">
      <c r="B6" s="3" t="s">
        <v>139</v>
      </c>
      <c r="C6" s="4">
        <v>8690</v>
      </c>
      <c r="D6" t="s">
        <v>83</v>
      </c>
      <c r="E6" t="s">
        <v>128</v>
      </c>
      <c r="F6" t="s">
        <v>9</v>
      </c>
      <c r="G6">
        <v>26.5</v>
      </c>
    </row>
    <row r="7" spans="1:8" ht="40.5">
      <c r="B7" s="1" t="s">
        <v>140</v>
      </c>
      <c r="C7" s="4">
        <v>10560</v>
      </c>
      <c r="D7" t="s">
        <v>141</v>
      </c>
      <c r="E7" t="s">
        <v>131</v>
      </c>
      <c r="F7" t="s">
        <v>9</v>
      </c>
      <c r="G7">
        <v>26.5</v>
      </c>
      <c r="H7">
        <v>42</v>
      </c>
    </row>
    <row r="8" spans="1:8" ht="27">
      <c r="B8" s="1" t="s">
        <v>142</v>
      </c>
      <c r="C8" s="4">
        <v>3850</v>
      </c>
      <c r="D8" t="s">
        <v>81</v>
      </c>
      <c r="E8" t="s">
        <v>144</v>
      </c>
      <c r="F8" t="s">
        <v>145</v>
      </c>
    </row>
    <row r="9" spans="1:8" ht="27">
      <c r="B9" s="1" t="s">
        <v>146</v>
      </c>
      <c r="C9" s="4">
        <v>2490</v>
      </c>
      <c r="D9" t="s">
        <v>147</v>
      </c>
      <c r="E9" t="s">
        <v>144</v>
      </c>
      <c r="F9" t="s">
        <v>145</v>
      </c>
    </row>
    <row r="10" spans="1:8" ht="27">
      <c r="B10" s="1" t="s">
        <v>148</v>
      </c>
      <c r="C10" s="4">
        <v>2490</v>
      </c>
      <c r="D10" t="s">
        <v>147</v>
      </c>
      <c r="E10" t="s">
        <v>144</v>
      </c>
      <c r="F10" t="s">
        <v>145</v>
      </c>
    </row>
    <row r="11" spans="1:8">
      <c r="A11" t="s">
        <v>151</v>
      </c>
      <c r="B11" s="1" t="s">
        <v>149</v>
      </c>
      <c r="C11" s="4">
        <v>3300</v>
      </c>
      <c r="D11" t="s">
        <v>150</v>
      </c>
      <c r="E11" t="s">
        <v>143</v>
      </c>
      <c r="F11" t="s">
        <v>145</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トップス</vt:lpstr>
      <vt:lpstr>パンツ</vt:lpstr>
      <vt:lpstr>その他</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畑裕介</dc:creator>
  <cp:lastModifiedBy>畑裕介</cp:lastModifiedBy>
  <dcterms:created xsi:type="dcterms:W3CDTF">2025-07-15T07:16:54Z</dcterms:created>
  <dcterms:modified xsi:type="dcterms:W3CDTF">2025-07-30T16:37:46Z</dcterms:modified>
</cp:coreProperties>
</file>
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0" yWindow="75" windowWidth="28035" windowHeight="12570" activeTab="3"/>
  </bookViews>
  <sheets>
    <sheet name="Sheet1" sheetId="1" r:id="rId1"/>
    <sheet name="Sheet2" sheetId="2" r:id="rId2"/>
    <sheet name="Sheet3" sheetId="3" r:id="rId3"/>
    <sheet name="Sheet4" sheetId="4" r:id="rId4"/>
  </sheets>
  <calcPr calcId="125725"/>
</workbook>
</file>

<file path=xl/calcChain.xml><?xml version="1.0" encoding="utf-8"?>
<calcChain xmlns="http://schemas.openxmlformats.org/spreadsheetml/2006/main">
  <c r="K2" i="4"/>
  <c r="J16" i="3"/>
  <c r="I16"/>
  <c r="H16"/>
  <c r="J15"/>
  <c r="H15"/>
  <c r="I15" s="1"/>
  <c r="J14"/>
  <c r="H14"/>
  <c r="I14" s="1"/>
  <c r="J13"/>
  <c r="H13"/>
  <c r="I13" s="1"/>
  <c r="J12"/>
  <c r="I12"/>
  <c r="H12"/>
  <c r="F11"/>
  <c r="H11" s="1"/>
  <c r="F10"/>
  <c r="H10" s="1"/>
  <c r="F47" i="2"/>
  <c r="E47"/>
  <c r="D47"/>
  <c r="C47"/>
  <c r="F46"/>
  <c r="E46"/>
  <c r="D46"/>
  <c r="C46"/>
  <c r="F45"/>
  <c r="E45"/>
  <c r="D45"/>
  <c r="C45"/>
  <c r="F44"/>
  <c r="E44"/>
  <c r="D44"/>
  <c r="C44"/>
  <c r="F43"/>
  <c r="E43"/>
  <c r="D43"/>
  <c r="C43"/>
  <c r="F42"/>
  <c r="E42"/>
  <c r="D42"/>
  <c r="C42"/>
  <c r="F41"/>
  <c r="E41"/>
  <c r="D41"/>
  <c r="C41"/>
  <c r="F40"/>
  <c r="E40"/>
  <c r="D40"/>
  <c r="C40"/>
  <c r="F39"/>
  <c r="E39"/>
  <c r="D39"/>
  <c r="C39"/>
  <c r="F38"/>
  <c r="E38"/>
  <c r="D38"/>
  <c r="C38"/>
  <c r="F37"/>
  <c r="E37"/>
  <c r="D37"/>
  <c r="C37"/>
  <c r="F36"/>
  <c r="E36"/>
  <c r="D36"/>
  <c r="C36"/>
  <c r="F35"/>
  <c r="E35"/>
  <c r="D35"/>
  <c r="C35"/>
  <c r="F34"/>
  <c r="E34"/>
  <c r="D34"/>
  <c r="C34"/>
  <c r="F33"/>
  <c r="E33"/>
  <c r="D33"/>
  <c r="C33"/>
  <c r="F32"/>
  <c r="E32"/>
  <c r="D32"/>
  <c r="C32"/>
  <c r="F31"/>
  <c r="E31"/>
  <c r="D31"/>
  <c r="C31"/>
  <c r="F30"/>
  <c r="E30"/>
  <c r="D30"/>
  <c r="C30"/>
  <c r="F29"/>
  <c r="E29"/>
  <c r="D29"/>
  <c r="C29"/>
  <c r="F28"/>
  <c r="E28"/>
  <c r="D28"/>
  <c r="C28"/>
  <c r="F27"/>
  <c r="E27"/>
  <c r="D27"/>
  <c r="C27"/>
  <c r="F26"/>
  <c r="E26"/>
  <c r="D26"/>
  <c r="C26"/>
  <c r="F25"/>
  <c r="E25"/>
  <c r="D25"/>
  <c r="C25"/>
  <c r="F24"/>
  <c r="E24"/>
  <c r="D24"/>
  <c r="C24"/>
  <c r="F23"/>
  <c r="E23"/>
  <c r="D23"/>
  <c r="C23"/>
  <c r="F22"/>
  <c r="E22"/>
  <c r="D22"/>
  <c r="C22"/>
  <c r="F21"/>
  <c r="E21"/>
  <c r="D21"/>
  <c r="C21"/>
  <c r="F20"/>
  <c r="E20"/>
  <c r="D20"/>
  <c r="C20"/>
  <c r="F19"/>
  <c r="E19"/>
  <c r="D19"/>
  <c r="C19"/>
  <c r="F18"/>
  <c r="E18"/>
  <c r="D18"/>
  <c r="C18"/>
  <c r="F17"/>
  <c r="E17"/>
  <c r="D17"/>
  <c r="C17"/>
  <c r="F16"/>
  <c r="E16"/>
  <c r="D16"/>
  <c r="C16"/>
  <c r="F15"/>
  <c r="E15"/>
  <c r="D15"/>
  <c r="C15"/>
  <c r="F14"/>
  <c r="E14"/>
  <c r="D14"/>
  <c r="C14"/>
  <c r="F13"/>
  <c r="E13"/>
  <c r="D13"/>
  <c r="C13"/>
  <c r="F12"/>
  <c r="E12"/>
  <c r="D12"/>
  <c r="C12"/>
  <c r="F11"/>
  <c r="E11"/>
  <c r="D11"/>
  <c r="C11"/>
  <c r="F10"/>
  <c r="E10"/>
  <c r="D10"/>
  <c r="C10"/>
  <c r="F9"/>
  <c r="E9"/>
  <c r="D9"/>
  <c r="C9"/>
  <c r="F8"/>
  <c r="E8"/>
  <c r="D8"/>
  <c r="C8"/>
  <c r="F7"/>
  <c r="E7"/>
  <c r="D7"/>
  <c r="C7"/>
  <c r="F6"/>
  <c r="E6"/>
  <c r="D6"/>
  <c r="C6"/>
  <c r="F5"/>
  <c r="E5"/>
  <c r="D5"/>
  <c r="C5"/>
  <c r="F4"/>
  <c r="E4"/>
  <c r="D4"/>
  <c r="C4"/>
  <c r="F3"/>
  <c r="E3"/>
  <c r="D3"/>
  <c r="C3"/>
  <c r="F2"/>
  <c r="E2"/>
  <c r="D2"/>
  <c r="C2"/>
  <c r="J9" i="3"/>
  <c r="J8"/>
  <c r="J7"/>
  <c r="J6"/>
  <c r="J5"/>
  <c r="I9"/>
  <c r="I8"/>
  <c r="I7"/>
  <c r="I6"/>
  <c r="I5"/>
  <c r="I4"/>
  <c r="I3"/>
  <c r="I2"/>
  <c r="H3"/>
  <c r="H4"/>
  <c r="H5"/>
  <c r="H6"/>
  <c r="H7"/>
  <c r="H8"/>
  <c r="H9"/>
  <c r="H2"/>
  <c r="F3"/>
  <c r="F2"/>
  <c r="F4"/>
  <c r="I11" l="1"/>
  <c r="I10"/>
</calcChain>
</file>

<file path=xl/sharedStrings.xml><?xml version="1.0" encoding="utf-8"?>
<sst xmlns="http://schemas.openxmlformats.org/spreadsheetml/2006/main" count="264" uniqueCount="76">
  <si>
    <t>火</t>
  </si>
  <si>
    <t>火</t>
    <rPh sb="0" eb="1">
      <t>ヒ</t>
    </rPh>
    <phoneticPr fontId="1"/>
  </si>
  <si>
    <t>水</t>
  </si>
  <si>
    <t>木</t>
  </si>
  <si>
    <t>金</t>
  </si>
  <si>
    <t>土</t>
  </si>
  <si>
    <t>日</t>
  </si>
  <si>
    <t>月</t>
  </si>
  <si>
    <t>自炊</t>
    <rPh sb="0" eb="2">
      <t>ジスイ</t>
    </rPh>
    <phoneticPr fontId="1"/>
  </si>
  <si>
    <t>洗濯</t>
    <rPh sb="0" eb="2">
      <t>センタク</t>
    </rPh>
    <phoneticPr fontId="1"/>
  </si>
  <si>
    <t>掃除</t>
    <rPh sb="0" eb="2">
      <t>ソウジ</t>
    </rPh>
    <phoneticPr fontId="1"/>
  </si>
  <si>
    <t>お風呂</t>
    <rPh sb="1" eb="3">
      <t>フロ</t>
    </rPh>
    <phoneticPr fontId="1"/>
  </si>
  <si>
    <t>歯磨き</t>
    <rPh sb="0" eb="2">
      <t>ハミガ</t>
    </rPh>
    <phoneticPr fontId="1"/>
  </si>
  <si>
    <t>出社</t>
    <rPh sb="0" eb="2">
      <t>シュッシャ</t>
    </rPh>
    <phoneticPr fontId="1"/>
  </si>
  <si>
    <t>電車</t>
    <rPh sb="0" eb="2">
      <t>デンシャ</t>
    </rPh>
    <phoneticPr fontId="1"/>
  </si>
  <si>
    <t>×</t>
    <phoneticPr fontId="1"/>
  </si>
  <si>
    <t>-</t>
    <phoneticPr fontId="1"/>
  </si>
  <si>
    <t>〇</t>
    <phoneticPr fontId="1"/>
  </si>
  <si>
    <t>出社のみ</t>
    <rPh sb="0" eb="2">
      <t>シュッシャ</t>
    </rPh>
    <phoneticPr fontId="1"/>
  </si>
  <si>
    <t>朝</t>
    <rPh sb="0" eb="1">
      <t>アサ</t>
    </rPh>
    <phoneticPr fontId="1"/>
  </si>
  <si>
    <t>朝食</t>
    <rPh sb="0" eb="2">
      <t>チョウショク</t>
    </rPh>
    <phoneticPr fontId="1"/>
  </si>
  <si>
    <t>昼食</t>
    <rPh sb="0" eb="2">
      <t>チュウショク</t>
    </rPh>
    <phoneticPr fontId="1"/>
  </si>
  <si>
    <t>夕食</t>
    <rPh sb="0" eb="2">
      <t>ユウショク</t>
    </rPh>
    <phoneticPr fontId="1"/>
  </si>
  <si>
    <t>酒</t>
    <rPh sb="0" eb="1">
      <t>サケ</t>
    </rPh>
    <phoneticPr fontId="1"/>
  </si>
  <si>
    <t>外食</t>
    <rPh sb="0" eb="2">
      <t>ガイショク</t>
    </rPh>
    <phoneticPr fontId="1"/>
  </si>
  <si>
    <t>コンビニ</t>
    <phoneticPr fontId="1"/>
  </si>
  <si>
    <t>250ml</t>
    <phoneticPr fontId="1"/>
  </si>
  <si>
    <t>酒_5%</t>
    <rPh sb="0" eb="1">
      <t>サケ</t>
    </rPh>
    <phoneticPr fontId="1"/>
  </si>
  <si>
    <t>酒_9%</t>
    <rPh sb="0" eb="1">
      <t>サケ</t>
    </rPh>
    <phoneticPr fontId="1"/>
  </si>
  <si>
    <t>酒_日本酒</t>
    <rPh sb="0" eb="1">
      <t>サケ</t>
    </rPh>
    <rPh sb="2" eb="5">
      <t>ニホンシュ</t>
    </rPh>
    <phoneticPr fontId="1"/>
  </si>
  <si>
    <t>500ml</t>
    <phoneticPr fontId="1"/>
  </si>
  <si>
    <t>酒_7%</t>
    <rPh sb="0" eb="1">
      <t>サケ</t>
    </rPh>
    <phoneticPr fontId="1"/>
  </si>
  <si>
    <t>シャワー</t>
    <phoneticPr fontId="1"/>
  </si>
  <si>
    <t>その他</t>
    <rPh sb="2" eb="3">
      <t>タ</t>
    </rPh>
    <phoneticPr fontId="1"/>
  </si>
  <si>
    <t>ミノン全身SPしっとり450ml</t>
    <rPh sb="3" eb="5">
      <t>ゼンシン</t>
    </rPh>
    <phoneticPr fontId="1"/>
  </si>
  <si>
    <t>ミノン薬用ヘアシャンプー450ml</t>
    <rPh sb="3" eb="5">
      <t>ヤクヨウ</t>
    </rPh>
    <phoneticPr fontId="1"/>
  </si>
  <si>
    <t>歯ブラシ</t>
    <rPh sb="0" eb="1">
      <t>ハ</t>
    </rPh>
    <phoneticPr fontId="1"/>
  </si>
  <si>
    <t>DPBDチョウゴクレギュラー普通</t>
    <rPh sb="14" eb="16">
      <t>フツウ</t>
    </rPh>
    <phoneticPr fontId="1"/>
  </si>
  <si>
    <t>シャンプー</t>
    <phoneticPr fontId="1"/>
  </si>
  <si>
    <t>ボディソープ</t>
    <phoneticPr fontId="1"/>
  </si>
  <si>
    <t>ダカラ国産大麦麦茶680ml</t>
    <rPh sb="3" eb="5">
      <t>コクサン</t>
    </rPh>
    <rPh sb="5" eb="9">
      <t>オオムギムギチャ</t>
    </rPh>
    <phoneticPr fontId="1"/>
  </si>
  <si>
    <t>麦茶</t>
    <rPh sb="0" eb="2">
      <t>ムギチャ</t>
    </rPh>
    <phoneticPr fontId="1"/>
  </si>
  <si>
    <t>ペヤングソース焼きそば超大盛</t>
    <rPh sb="7" eb="8">
      <t>ヤ</t>
    </rPh>
    <rPh sb="11" eb="12">
      <t>チョウ</t>
    </rPh>
    <rPh sb="12" eb="14">
      <t>オオモリ</t>
    </rPh>
    <phoneticPr fontId="1"/>
  </si>
  <si>
    <t>麺神牛だしチーズカレーうどん</t>
    <rPh sb="0" eb="1">
      <t>メン</t>
    </rPh>
    <rPh sb="1" eb="2">
      <t>カミ</t>
    </rPh>
    <rPh sb="2" eb="3">
      <t>ギュウ</t>
    </rPh>
    <phoneticPr fontId="1"/>
  </si>
  <si>
    <t>カップ麺</t>
    <rPh sb="3" eb="4">
      <t>メン</t>
    </rPh>
    <phoneticPr fontId="1"/>
  </si>
  <si>
    <t>アサヒGINONレモン500ml</t>
    <phoneticPr fontId="1"/>
  </si>
  <si>
    <t>冷しねぎまぜ麺</t>
    <rPh sb="0" eb="1">
      <t>ヒヤ</t>
    </rPh>
    <rPh sb="6" eb="7">
      <t>メン</t>
    </rPh>
    <phoneticPr fontId="1"/>
  </si>
  <si>
    <t>食べ物</t>
    <rPh sb="0" eb="1">
      <t>タ</t>
    </rPh>
    <rPh sb="2" eb="3">
      <t>モノ</t>
    </rPh>
    <phoneticPr fontId="1"/>
  </si>
  <si>
    <t>日付</t>
    <rPh sb="0" eb="2">
      <t>ヒヅケ</t>
    </rPh>
    <phoneticPr fontId="1"/>
  </si>
  <si>
    <t>商品名</t>
    <rPh sb="0" eb="3">
      <t>ショウヒンメイ</t>
    </rPh>
    <phoneticPr fontId="1"/>
  </si>
  <si>
    <t>中分類</t>
    <rPh sb="0" eb="3">
      <t>チュウブンルイ</t>
    </rPh>
    <phoneticPr fontId="1"/>
  </si>
  <si>
    <t>大分類</t>
    <rPh sb="0" eb="3">
      <t>ダイブンルイ</t>
    </rPh>
    <phoneticPr fontId="1"/>
  </si>
  <si>
    <t>消費税</t>
    <rPh sb="0" eb="3">
      <t>ショウヒゼイ</t>
    </rPh>
    <phoneticPr fontId="1"/>
  </si>
  <si>
    <t>単価</t>
    <rPh sb="0" eb="2">
      <t>タンカ</t>
    </rPh>
    <phoneticPr fontId="1"/>
  </si>
  <si>
    <t>消費税率</t>
    <rPh sb="0" eb="3">
      <t>ショウヒゼイ</t>
    </rPh>
    <rPh sb="3" eb="4">
      <t>リツ</t>
    </rPh>
    <phoneticPr fontId="1"/>
  </si>
  <si>
    <t>購入数</t>
    <rPh sb="0" eb="3">
      <t>コウニュウスウ</t>
    </rPh>
    <phoneticPr fontId="1"/>
  </si>
  <si>
    <t>購入金額</t>
    <rPh sb="0" eb="4">
      <t>コウニュウキンガク</t>
    </rPh>
    <phoneticPr fontId="1"/>
  </si>
  <si>
    <t>金額</t>
    <rPh sb="0" eb="2">
      <t>キンガク</t>
    </rPh>
    <phoneticPr fontId="1"/>
  </si>
  <si>
    <t>生活用品</t>
    <rPh sb="0" eb="4">
      <t>セイカツヨウヒン</t>
    </rPh>
    <phoneticPr fontId="1"/>
  </si>
  <si>
    <t>飲み物</t>
    <rPh sb="0" eb="1">
      <t>ノ</t>
    </rPh>
    <rPh sb="2" eb="3">
      <t>モノ</t>
    </rPh>
    <phoneticPr fontId="1"/>
  </si>
  <si>
    <t>チューハイ</t>
    <phoneticPr fontId="1"/>
  </si>
  <si>
    <t>外食</t>
    <rPh sb="0" eb="2">
      <t>ガイショク</t>
    </rPh>
    <phoneticPr fontId="1"/>
  </si>
  <si>
    <t>快活CLUB</t>
    <rPh sb="0" eb="2">
      <t>カイカツ</t>
    </rPh>
    <phoneticPr fontId="1"/>
  </si>
  <si>
    <t>趣味</t>
    <rPh sb="0" eb="2">
      <t>シュミ</t>
    </rPh>
    <phoneticPr fontId="1"/>
  </si>
  <si>
    <t>宿泊</t>
    <rPh sb="0" eb="2">
      <t>シュクハク</t>
    </rPh>
    <phoneticPr fontId="1"/>
  </si>
  <si>
    <t>新年会</t>
    <rPh sb="0" eb="3">
      <t>シンネンカイ</t>
    </rPh>
    <phoneticPr fontId="1"/>
  </si>
  <si>
    <t>その他</t>
    <rPh sb="2" eb="3">
      <t>タ</t>
    </rPh>
    <phoneticPr fontId="1"/>
  </si>
  <si>
    <t>電車</t>
    <rPh sb="0" eb="2">
      <t>デンシャ</t>
    </rPh>
    <phoneticPr fontId="1"/>
  </si>
  <si>
    <t>移動</t>
    <rPh sb="0" eb="2">
      <t>イドウ</t>
    </rPh>
    <phoneticPr fontId="1"/>
  </si>
  <si>
    <t>一蘭</t>
    <rPh sb="0" eb="2">
      <t>イチラン</t>
    </rPh>
    <phoneticPr fontId="1"/>
  </si>
  <si>
    <t>食べ物</t>
    <rPh sb="0" eb="1">
      <t>タ</t>
    </rPh>
    <rPh sb="2" eb="3">
      <t>モノ</t>
    </rPh>
    <phoneticPr fontId="1"/>
  </si>
  <si>
    <t>新幹線</t>
    <rPh sb="0" eb="3">
      <t>シンカンセン</t>
    </rPh>
    <phoneticPr fontId="1"/>
  </si>
  <si>
    <t>静銀</t>
    <rPh sb="0" eb="2">
      <t>シズギン</t>
    </rPh>
    <phoneticPr fontId="1"/>
  </si>
  <si>
    <t>三井住友</t>
    <rPh sb="0" eb="4">
      <t>ミツイスミトモ</t>
    </rPh>
    <phoneticPr fontId="1"/>
  </si>
  <si>
    <t>三菱UFJ</t>
    <rPh sb="0" eb="2">
      <t>ミツビシ</t>
    </rPh>
    <phoneticPr fontId="1"/>
  </si>
  <si>
    <t>中央労働金庫</t>
    <rPh sb="0" eb="4">
      <t>チュウオウロウドウ</t>
    </rPh>
    <rPh sb="4" eb="6">
      <t>キンコ</t>
    </rPh>
    <phoneticPr fontId="1"/>
  </si>
</sst>
</file>

<file path=xl/styles.xml><?xml version="1.0" encoding="utf-8"?>
<styleSheet xmlns="http://schemas.openxmlformats.org/spreadsheetml/2006/main">
  <fonts count="3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31" fontId="0" fillId="0" borderId="0" xfId="0" applyNumberFormat="1">
      <alignment vertical="center"/>
    </xf>
    <xf numFmtId="14" fontId="0" fillId="0" borderId="0" xfId="0" applyNumberFormat="1">
      <alignment vertical="center"/>
    </xf>
    <xf numFmtId="9" fontId="0" fillId="0" borderId="0" xfId="2" applyFont="1">
      <alignment vertical="center"/>
    </xf>
    <xf numFmtId="38" fontId="0" fillId="0" borderId="0" xfId="1" applyFont="1">
      <alignment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R50"/>
  <sheetViews>
    <sheetView workbookViewId="0">
      <selection activeCell="B3" sqref="B3"/>
    </sheetView>
  </sheetViews>
  <sheetFormatPr defaultRowHeight="13.5"/>
  <cols>
    <col min="1" max="1" width="14.625" bestFit="1" customWidth="1"/>
    <col min="2" max="2" width="3.375" bestFit="1" customWidth="1"/>
  </cols>
  <sheetData>
    <row r="1" spans="1:18">
      <c r="C1" t="s">
        <v>20</v>
      </c>
      <c r="D1" t="s">
        <v>21</v>
      </c>
      <c r="E1" t="s">
        <v>22</v>
      </c>
      <c r="F1" t="s">
        <v>33</v>
      </c>
      <c r="G1" t="s">
        <v>8</v>
      </c>
      <c r="H1" t="s">
        <v>27</v>
      </c>
      <c r="I1" t="s">
        <v>31</v>
      </c>
      <c r="J1" t="s">
        <v>28</v>
      </c>
      <c r="K1" t="s">
        <v>29</v>
      </c>
      <c r="L1" t="s">
        <v>9</v>
      </c>
      <c r="M1" t="s">
        <v>10</v>
      </c>
      <c r="N1" t="s">
        <v>32</v>
      </c>
      <c r="O1" t="s">
        <v>11</v>
      </c>
      <c r="P1" t="s">
        <v>12</v>
      </c>
      <c r="Q1" t="s">
        <v>13</v>
      </c>
      <c r="R1" t="s">
        <v>14</v>
      </c>
    </row>
    <row r="2" spans="1:18">
      <c r="A2" s="1">
        <v>45418</v>
      </c>
      <c r="B2" t="s">
        <v>7</v>
      </c>
      <c r="C2" t="s">
        <v>15</v>
      </c>
      <c r="D2" t="s">
        <v>24</v>
      </c>
      <c r="E2" t="s">
        <v>25</v>
      </c>
      <c r="F2" t="s">
        <v>15</v>
      </c>
      <c r="G2" t="s">
        <v>15</v>
      </c>
      <c r="J2" t="s">
        <v>26</v>
      </c>
      <c r="L2" t="s">
        <v>16</v>
      </c>
      <c r="M2" t="s">
        <v>15</v>
      </c>
      <c r="N2" t="s">
        <v>15</v>
      </c>
      <c r="O2" t="s">
        <v>15</v>
      </c>
      <c r="P2" t="s">
        <v>15</v>
      </c>
      <c r="Q2" t="s">
        <v>16</v>
      </c>
    </row>
    <row r="3" spans="1:18">
      <c r="A3" s="1">
        <v>45419</v>
      </c>
      <c r="B3" t="s">
        <v>1</v>
      </c>
      <c r="C3" t="s">
        <v>15</v>
      </c>
      <c r="D3" t="s">
        <v>15</v>
      </c>
      <c r="E3" t="s">
        <v>25</v>
      </c>
      <c r="F3" t="s">
        <v>15</v>
      </c>
      <c r="G3" t="s">
        <v>15</v>
      </c>
      <c r="I3" t="s">
        <v>30</v>
      </c>
      <c r="J3" t="s">
        <v>26</v>
      </c>
      <c r="L3" t="s">
        <v>16</v>
      </c>
      <c r="M3" t="s">
        <v>15</v>
      </c>
      <c r="N3" t="s">
        <v>19</v>
      </c>
      <c r="O3" t="s">
        <v>15</v>
      </c>
      <c r="P3" t="s">
        <v>19</v>
      </c>
      <c r="Q3" t="s">
        <v>17</v>
      </c>
      <c r="R3" t="s">
        <v>18</v>
      </c>
    </row>
    <row r="4" spans="1:18">
      <c r="A4" s="1">
        <v>45420</v>
      </c>
      <c r="B4" t="s">
        <v>2</v>
      </c>
      <c r="C4" t="s">
        <v>15</v>
      </c>
      <c r="D4" t="s">
        <v>15</v>
      </c>
      <c r="L4" t="s">
        <v>16</v>
      </c>
      <c r="M4" t="s">
        <v>15</v>
      </c>
      <c r="Q4" t="s">
        <v>15</v>
      </c>
    </row>
    <row r="5" spans="1:18">
      <c r="A5" s="1">
        <v>45421</v>
      </c>
      <c r="B5" t="s">
        <v>3</v>
      </c>
      <c r="C5" t="s">
        <v>15</v>
      </c>
      <c r="D5" t="s">
        <v>15</v>
      </c>
      <c r="Q5" t="s">
        <v>15</v>
      </c>
    </row>
    <row r="6" spans="1:18">
      <c r="A6" s="1">
        <v>45422</v>
      </c>
      <c r="B6" t="s">
        <v>4</v>
      </c>
      <c r="C6" t="s">
        <v>15</v>
      </c>
      <c r="D6" t="s">
        <v>61</v>
      </c>
      <c r="Q6" t="s">
        <v>17</v>
      </c>
    </row>
    <row r="7" spans="1:18">
      <c r="A7" s="1">
        <v>45423</v>
      </c>
      <c r="B7" t="s">
        <v>5</v>
      </c>
      <c r="C7" t="s">
        <v>15</v>
      </c>
      <c r="D7" t="s">
        <v>15</v>
      </c>
      <c r="Q7" t="s">
        <v>16</v>
      </c>
    </row>
    <row r="8" spans="1:18">
      <c r="A8" s="1">
        <v>45424</v>
      </c>
      <c r="B8" t="s">
        <v>6</v>
      </c>
      <c r="C8" t="s">
        <v>15</v>
      </c>
      <c r="D8" t="s">
        <v>15</v>
      </c>
      <c r="Q8" t="s">
        <v>16</v>
      </c>
    </row>
    <row r="9" spans="1:18">
      <c r="A9" s="1">
        <v>45425</v>
      </c>
      <c r="B9" t="s">
        <v>7</v>
      </c>
      <c r="C9" t="s">
        <v>15</v>
      </c>
      <c r="D9" t="s">
        <v>15</v>
      </c>
      <c r="Q9" t="s">
        <v>17</v>
      </c>
    </row>
    <row r="10" spans="1:18">
      <c r="A10" s="1">
        <v>45426</v>
      </c>
      <c r="B10" t="s">
        <v>0</v>
      </c>
      <c r="C10" t="s">
        <v>15</v>
      </c>
      <c r="D10" t="s">
        <v>15</v>
      </c>
      <c r="Q10" t="s">
        <v>15</v>
      </c>
    </row>
    <row r="11" spans="1:18">
      <c r="A11" s="1">
        <v>45427</v>
      </c>
      <c r="B11" t="s">
        <v>2</v>
      </c>
      <c r="C11" t="s">
        <v>15</v>
      </c>
      <c r="D11" t="s">
        <v>15</v>
      </c>
      <c r="Q11" t="s">
        <v>15</v>
      </c>
    </row>
    <row r="12" spans="1:18">
      <c r="A12" s="1">
        <v>45428</v>
      </c>
      <c r="B12" t="s">
        <v>3</v>
      </c>
      <c r="C12" t="s">
        <v>15</v>
      </c>
      <c r="D12" t="s">
        <v>15</v>
      </c>
      <c r="Q12" t="s">
        <v>15</v>
      </c>
    </row>
    <row r="13" spans="1:18">
      <c r="A13" s="1">
        <v>45429</v>
      </c>
      <c r="B13" t="s">
        <v>4</v>
      </c>
      <c r="Q13" t="s">
        <v>17</v>
      </c>
    </row>
    <row r="14" spans="1:18">
      <c r="A14" s="1">
        <v>45430</v>
      </c>
      <c r="B14" t="s">
        <v>5</v>
      </c>
      <c r="Q14" t="s">
        <v>16</v>
      </c>
    </row>
    <row r="15" spans="1:18">
      <c r="A15" s="1">
        <v>45431</v>
      </c>
      <c r="B15" t="s">
        <v>6</v>
      </c>
      <c r="Q15" t="s">
        <v>16</v>
      </c>
    </row>
    <row r="16" spans="1:18">
      <c r="A16" s="1">
        <v>45432</v>
      </c>
      <c r="B16" t="s">
        <v>7</v>
      </c>
      <c r="Q16" t="s">
        <v>17</v>
      </c>
    </row>
    <row r="17" spans="1:17">
      <c r="A17" s="1">
        <v>45433</v>
      </c>
      <c r="B17" t="s">
        <v>0</v>
      </c>
      <c r="Q17" t="s">
        <v>15</v>
      </c>
    </row>
    <row r="18" spans="1:17">
      <c r="A18" s="1">
        <v>45434</v>
      </c>
      <c r="B18" t="s">
        <v>2</v>
      </c>
      <c r="Q18" t="s">
        <v>15</v>
      </c>
    </row>
    <row r="19" spans="1:17">
      <c r="A19" s="1">
        <v>45435</v>
      </c>
      <c r="B19" t="s">
        <v>3</v>
      </c>
      <c r="Q19" t="s">
        <v>15</v>
      </c>
    </row>
    <row r="20" spans="1:17">
      <c r="A20" s="1">
        <v>45436</v>
      </c>
      <c r="B20" t="s">
        <v>4</v>
      </c>
      <c r="Q20" t="s">
        <v>17</v>
      </c>
    </row>
    <row r="21" spans="1:17">
      <c r="A21" s="1">
        <v>45437</v>
      </c>
      <c r="B21" t="s">
        <v>5</v>
      </c>
      <c r="Q21" t="s">
        <v>16</v>
      </c>
    </row>
    <row r="22" spans="1:17">
      <c r="A22" s="1">
        <v>45438</v>
      </c>
      <c r="B22" t="s">
        <v>6</v>
      </c>
      <c r="Q22" t="s">
        <v>16</v>
      </c>
    </row>
    <row r="23" spans="1:17">
      <c r="A23" s="1">
        <v>45439</v>
      </c>
      <c r="B23" t="s">
        <v>7</v>
      </c>
      <c r="Q23" t="s">
        <v>17</v>
      </c>
    </row>
    <row r="24" spans="1:17">
      <c r="A24" s="1">
        <v>45440</v>
      </c>
      <c r="B24" t="s">
        <v>0</v>
      </c>
      <c r="Q24" t="s">
        <v>15</v>
      </c>
    </row>
    <row r="25" spans="1:17">
      <c r="A25" s="1">
        <v>45441</v>
      </c>
      <c r="B25" t="s">
        <v>2</v>
      </c>
      <c r="Q25" t="s">
        <v>15</v>
      </c>
    </row>
    <row r="26" spans="1:17">
      <c r="A26" s="1">
        <v>45442</v>
      </c>
      <c r="B26" t="s">
        <v>3</v>
      </c>
      <c r="Q26" t="s">
        <v>15</v>
      </c>
    </row>
    <row r="27" spans="1:17">
      <c r="A27" s="1">
        <v>45443</v>
      </c>
      <c r="B27" t="s">
        <v>4</v>
      </c>
      <c r="Q27" t="s">
        <v>17</v>
      </c>
    </row>
    <row r="28" spans="1:17">
      <c r="A28" s="1">
        <v>45444</v>
      </c>
      <c r="B28" t="s">
        <v>5</v>
      </c>
      <c r="Q28" t="s">
        <v>16</v>
      </c>
    </row>
    <row r="29" spans="1:17">
      <c r="A29" s="1">
        <v>45445</v>
      </c>
      <c r="B29" t="s">
        <v>6</v>
      </c>
      <c r="Q29" t="s">
        <v>16</v>
      </c>
    </row>
    <row r="30" spans="1:17">
      <c r="A30" s="1">
        <v>45446</v>
      </c>
      <c r="B30" t="s">
        <v>7</v>
      </c>
      <c r="Q30" t="s">
        <v>17</v>
      </c>
    </row>
    <row r="31" spans="1:17">
      <c r="A31" s="1">
        <v>45447</v>
      </c>
      <c r="B31" t="s">
        <v>0</v>
      </c>
      <c r="Q31" t="s">
        <v>15</v>
      </c>
    </row>
    <row r="32" spans="1:17">
      <c r="A32" s="1">
        <v>45448</v>
      </c>
      <c r="B32" t="s">
        <v>2</v>
      </c>
      <c r="Q32" t="s">
        <v>15</v>
      </c>
    </row>
    <row r="33" spans="1:17">
      <c r="A33" s="1">
        <v>45449</v>
      </c>
      <c r="B33" t="s">
        <v>3</v>
      </c>
      <c r="Q33" t="s">
        <v>15</v>
      </c>
    </row>
    <row r="34" spans="1:17">
      <c r="A34" s="1">
        <v>45450</v>
      </c>
      <c r="B34" t="s">
        <v>4</v>
      </c>
      <c r="Q34" t="s">
        <v>17</v>
      </c>
    </row>
    <row r="35" spans="1:17">
      <c r="A35" s="1">
        <v>45451</v>
      </c>
      <c r="B35" t="s">
        <v>5</v>
      </c>
      <c r="Q35" t="s">
        <v>16</v>
      </c>
    </row>
    <row r="36" spans="1:17">
      <c r="A36" s="1">
        <v>45452</v>
      </c>
      <c r="B36" t="s">
        <v>6</v>
      </c>
      <c r="Q36" t="s">
        <v>16</v>
      </c>
    </row>
    <row r="37" spans="1:17">
      <c r="A37" s="1">
        <v>45453</v>
      </c>
      <c r="B37" t="s">
        <v>7</v>
      </c>
      <c r="Q37" t="s">
        <v>17</v>
      </c>
    </row>
    <row r="38" spans="1:17">
      <c r="A38" s="1">
        <v>45454</v>
      </c>
      <c r="B38" t="s">
        <v>0</v>
      </c>
      <c r="Q38" t="s">
        <v>15</v>
      </c>
    </row>
    <row r="39" spans="1:17">
      <c r="A39" s="1">
        <v>45455</v>
      </c>
      <c r="B39" t="s">
        <v>2</v>
      </c>
      <c r="Q39" t="s">
        <v>15</v>
      </c>
    </row>
    <row r="40" spans="1:17">
      <c r="A40" s="1">
        <v>45456</v>
      </c>
      <c r="B40" t="s">
        <v>3</v>
      </c>
      <c r="Q40" t="s">
        <v>15</v>
      </c>
    </row>
    <row r="41" spans="1:17">
      <c r="A41" s="1">
        <v>45457</v>
      </c>
      <c r="B41" t="s">
        <v>4</v>
      </c>
      <c r="Q41" t="s">
        <v>17</v>
      </c>
    </row>
    <row r="42" spans="1:17">
      <c r="A42" s="1">
        <v>45458</v>
      </c>
      <c r="B42" t="s">
        <v>5</v>
      </c>
      <c r="Q42" t="s">
        <v>16</v>
      </c>
    </row>
    <row r="43" spans="1:17">
      <c r="A43" s="1">
        <v>45459</v>
      </c>
      <c r="B43" t="s">
        <v>6</v>
      </c>
      <c r="Q43" t="s">
        <v>16</v>
      </c>
    </row>
    <row r="44" spans="1:17">
      <c r="A44" s="1">
        <v>45460</v>
      </c>
      <c r="B44" t="s">
        <v>7</v>
      </c>
      <c r="Q44" t="s">
        <v>17</v>
      </c>
    </row>
    <row r="45" spans="1:17">
      <c r="A45" s="1">
        <v>45461</v>
      </c>
      <c r="B45" t="s">
        <v>0</v>
      </c>
      <c r="Q45" t="s">
        <v>15</v>
      </c>
    </row>
    <row r="46" spans="1:17">
      <c r="A46" s="1">
        <v>45462</v>
      </c>
      <c r="B46" t="s">
        <v>2</v>
      </c>
      <c r="Q46" t="s">
        <v>15</v>
      </c>
    </row>
    <row r="47" spans="1:17">
      <c r="A47" s="1">
        <v>45463</v>
      </c>
      <c r="B47" t="s">
        <v>3</v>
      </c>
      <c r="Q47" t="s">
        <v>15</v>
      </c>
    </row>
    <row r="48" spans="1:17">
      <c r="Q48" t="s">
        <v>17</v>
      </c>
    </row>
    <row r="49" spans="17:17">
      <c r="Q49" t="s">
        <v>16</v>
      </c>
    </row>
    <row r="50" spans="17:17">
      <c r="Q50" t="s">
        <v>16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F47"/>
  <sheetViews>
    <sheetView workbookViewId="0">
      <selection activeCell="E8" sqref="E8"/>
    </sheetView>
  </sheetViews>
  <sheetFormatPr defaultRowHeight="13.5"/>
  <cols>
    <col min="1" max="1" width="14.625" bestFit="1" customWidth="1"/>
    <col min="2" max="2" width="3.375" bestFit="1" customWidth="1"/>
  </cols>
  <sheetData>
    <row r="1" spans="1:6">
      <c r="C1" t="s">
        <v>58</v>
      </c>
      <c r="D1" t="s">
        <v>59</v>
      </c>
      <c r="E1" t="s">
        <v>47</v>
      </c>
      <c r="F1" t="s">
        <v>23</v>
      </c>
    </row>
    <row r="2" spans="1:6">
      <c r="A2" s="1">
        <v>45418</v>
      </c>
      <c r="B2" t="s">
        <v>7</v>
      </c>
      <c r="C2" s="4">
        <f>SUMIFS(Sheet3!$J:$J,Sheet3!$A:$A,$A2,Sheet3!$C:$C,C$1)</f>
        <v>3275</v>
      </c>
      <c r="D2" s="4">
        <f>SUMIFS(Sheet3!$J:$J,Sheet3!$A:$A,$A2,Sheet3!$C:$C,D$1)</f>
        <v>138</v>
      </c>
      <c r="E2" s="4">
        <f>SUMIFS(Sheet3!$J:$J,Sheet3!$A:$A,$A2,Sheet3!$C:$C,E$1)</f>
        <v>238</v>
      </c>
      <c r="F2" s="4">
        <f>SUMIFS(Sheet3!$J:$J,Sheet3!$A:$A,$A2,Sheet3!$C:$C,F$1)</f>
        <v>0</v>
      </c>
    </row>
    <row r="3" spans="1:6">
      <c r="A3" s="1">
        <v>45419</v>
      </c>
      <c r="B3" t="s">
        <v>1</v>
      </c>
      <c r="C3" s="4">
        <f>SUMIFS(Sheet3!$J:$J,Sheet3!$A:$A,$A3,Sheet3!$C:$C,C$1)</f>
        <v>0</v>
      </c>
      <c r="D3" s="4">
        <f>SUMIFS(Sheet3!$J:$J,Sheet3!$A:$A,$A3,Sheet3!$C:$C,D$1)</f>
        <v>0</v>
      </c>
      <c r="E3" s="4">
        <f>SUMIFS(Sheet3!$J:$J,Sheet3!$A:$A,$A3,Sheet3!$C:$C,E$1)</f>
        <v>829</v>
      </c>
      <c r="F3" s="4">
        <f>SUMIFS(Sheet3!$J:$J,Sheet3!$A:$A,$A3,Sheet3!$C:$C,F$1)</f>
        <v>228</v>
      </c>
    </row>
    <row r="4" spans="1:6">
      <c r="A4" s="1">
        <v>45420</v>
      </c>
      <c r="B4" t="s">
        <v>2</v>
      </c>
      <c r="C4" s="4">
        <f>SUMIFS(Sheet3!$J:$J,Sheet3!$A:$A,$A4,Sheet3!$C:$C,C$1)</f>
        <v>0</v>
      </c>
      <c r="D4" s="4">
        <f>SUMIFS(Sheet3!$J:$J,Sheet3!$A:$A,$A4,Sheet3!$C:$C,D$1)</f>
        <v>0</v>
      </c>
      <c r="E4" s="4">
        <f>SUMIFS(Sheet3!$J:$J,Sheet3!$A:$A,$A4,Sheet3!$C:$C,E$1)</f>
        <v>0</v>
      </c>
      <c r="F4" s="4">
        <f>SUMIFS(Sheet3!$J:$J,Sheet3!$A:$A,$A4,Sheet3!$C:$C,F$1)</f>
        <v>0</v>
      </c>
    </row>
    <row r="5" spans="1:6">
      <c r="A5" s="1">
        <v>45421</v>
      </c>
      <c r="B5" t="s">
        <v>3</v>
      </c>
      <c r="C5" s="4">
        <f>SUMIFS(Sheet3!$J:$J,Sheet3!$A:$A,$A5,Sheet3!$C:$C,C$1)</f>
        <v>0</v>
      </c>
      <c r="D5" s="4">
        <f>SUMIFS(Sheet3!$J:$J,Sheet3!$A:$A,$A5,Sheet3!$C:$C,D$1)</f>
        <v>0</v>
      </c>
      <c r="E5" s="4">
        <f>SUMIFS(Sheet3!$J:$J,Sheet3!$A:$A,$A5,Sheet3!$C:$C,E$1)</f>
        <v>0</v>
      </c>
      <c r="F5" s="4">
        <f>SUMIFS(Sheet3!$J:$J,Sheet3!$A:$A,$A5,Sheet3!$C:$C,F$1)</f>
        <v>0</v>
      </c>
    </row>
    <row r="6" spans="1:6">
      <c r="A6" s="1">
        <v>45422</v>
      </c>
      <c r="B6" t="s">
        <v>4</v>
      </c>
      <c r="C6" s="4">
        <f>SUMIFS(Sheet3!$J:$J,Sheet3!$A:$A,$A6,Sheet3!$C:$C,C$1)</f>
        <v>0</v>
      </c>
      <c r="D6" s="4">
        <f>SUMIFS(Sheet3!$J:$J,Sheet3!$A:$A,$A6,Sheet3!$C:$C,D$1)</f>
        <v>0</v>
      </c>
      <c r="E6" s="4">
        <f>SUMIFS(Sheet3!$J:$J,Sheet3!$A:$A,$A6,Sheet3!$C:$C,E$1)</f>
        <v>0</v>
      </c>
      <c r="F6" s="4">
        <f>SUMIFS(Sheet3!$J:$J,Sheet3!$A:$A,$A6,Sheet3!$C:$C,F$1)</f>
        <v>0</v>
      </c>
    </row>
    <row r="7" spans="1:6">
      <c r="A7" s="1">
        <v>45423</v>
      </c>
      <c r="B7" t="s">
        <v>5</v>
      </c>
      <c r="C7" s="4">
        <f>SUMIFS(Sheet3!$J:$J,Sheet3!$A:$A,$A7,Sheet3!$C:$C,C$1)</f>
        <v>0</v>
      </c>
      <c r="D7" s="4">
        <f>SUMIFS(Sheet3!$J:$J,Sheet3!$A:$A,$A7,Sheet3!$C:$C,D$1)</f>
        <v>0</v>
      </c>
      <c r="E7" s="4">
        <f>SUMIFS(Sheet3!$J:$J,Sheet3!$A:$A,$A7,Sheet3!$C:$C,E$1)</f>
        <v>0</v>
      </c>
      <c r="F7" s="4">
        <f>SUMIFS(Sheet3!$J:$J,Sheet3!$A:$A,$A7,Sheet3!$C:$C,F$1)</f>
        <v>0</v>
      </c>
    </row>
    <row r="8" spans="1:6">
      <c r="A8" s="1">
        <v>45424</v>
      </c>
      <c r="B8" t="s">
        <v>6</v>
      </c>
      <c r="C8" s="4">
        <f>SUMIFS(Sheet3!$J:$J,Sheet3!$A:$A,$A8,Sheet3!$C:$C,C$1)</f>
        <v>0</v>
      </c>
      <c r="D8" s="4">
        <f>SUMIFS(Sheet3!$J:$J,Sheet3!$A:$A,$A8,Sheet3!$C:$C,D$1)</f>
        <v>0</v>
      </c>
      <c r="E8" s="4">
        <f>SUMIFS(Sheet3!$J:$J,Sheet3!$A:$A,$A8,Sheet3!$C:$C,E$1)</f>
        <v>0</v>
      </c>
      <c r="F8" s="4">
        <f>SUMIFS(Sheet3!$J:$J,Sheet3!$A:$A,$A8,Sheet3!$C:$C,F$1)</f>
        <v>0</v>
      </c>
    </row>
    <row r="9" spans="1:6">
      <c r="A9" s="1">
        <v>45425</v>
      </c>
      <c r="B9" t="s">
        <v>7</v>
      </c>
      <c r="C9" s="4">
        <f>SUMIFS(Sheet3!$J:$J,Sheet3!$A:$A,$A9,Sheet3!$C:$C,C$1)</f>
        <v>0</v>
      </c>
      <c r="D9" s="4">
        <f>SUMIFS(Sheet3!$J:$J,Sheet3!$A:$A,$A9,Sheet3!$C:$C,D$1)</f>
        <v>0</v>
      </c>
      <c r="E9" s="4">
        <f>SUMIFS(Sheet3!$J:$J,Sheet3!$A:$A,$A9,Sheet3!$C:$C,E$1)</f>
        <v>0</v>
      </c>
      <c r="F9" s="4">
        <f>SUMIFS(Sheet3!$J:$J,Sheet3!$A:$A,$A9,Sheet3!$C:$C,F$1)</f>
        <v>0</v>
      </c>
    </row>
    <row r="10" spans="1:6">
      <c r="A10" s="1">
        <v>45426</v>
      </c>
      <c r="B10" t="s">
        <v>0</v>
      </c>
      <c r="C10" s="4">
        <f>SUMIFS(Sheet3!$J:$J,Sheet3!$A:$A,$A10,Sheet3!$C:$C,C$1)</f>
        <v>0</v>
      </c>
      <c r="D10" s="4">
        <f>SUMIFS(Sheet3!$J:$J,Sheet3!$A:$A,$A10,Sheet3!$C:$C,D$1)</f>
        <v>0</v>
      </c>
      <c r="E10" s="4">
        <f>SUMIFS(Sheet3!$J:$J,Sheet3!$A:$A,$A10,Sheet3!$C:$C,E$1)</f>
        <v>0</v>
      </c>
      <c r="F10" s="4">
        <f>SUMIFS(Sheet3!$J:$J,Sheet3!$A:$A,$A10,Sheet3!$C:$C,F$1)</f>
        <v>0</v>
      </c>
    </row>
    <row r="11" spans="1:6">
      <c r="A11" s="1">
        <v>45427</v>
      </c>
      <c r="B11" t="s">
        <v>2</v>
      </c>
      <c r="C11" s="4">
        <f>SUMIFS(Sheet3!$J:$J,Sheet3!$A:$A,$A11,Sheet3!$C:$C,C$1)</f>
        <v>0</v>
      </c>
      <c r="D11" s="4">
        <f>SUMIFS(Sheet3!$J:$J,Sheet3!$A:$A,$A11,Sheet3!$C:$C,D$1)</f>
        <v>0</v>
      </c>
      <c r="E11" s="4">
        <f>SUMIFS(Sheet3!$J:$J,Sheet3!$A:$A,$A11,Sheet3!$C:$C,E$1)</f>
        <v>0</v>
      </c>
      <c r="F11" s="4">
        <f>SUMIFS(Sheet3!$J:$J,Sheet3!$A:$A,$A11,Sheet3!$C:$C,F$1)</f>
        <v>0</v>
      </c>
    </row>
    <row r="12" spans="1:6">
      <c r="A12" s="1">
        <v>45428</v>
      </c>
      <c r="B12" t="s">
        <v>3</v>
      </c>
      <c r="C12" s="4">
        <f>SUMIFS(Sheet3!$J:$J,Sheet3!$A:$A,$A12,Sheet3!$C:$C,C$1)</f>
        <v>0</v>
      </c>
      <c r="D12" s="4">
        <f>SUMIFS(Sheet3!$J:$J,Sheet3!$A:$A,$A12,Sheet3!$C:$C,D$1)</f>
        <v>0</v>
      </c>
      <c r="E12" s="4">
        <f>SUMIFS(Sheet3!$J:$J,Sheet3!$A:$A,$A12,Sheet3!$C:$C,E$1)</f>
        <v>0</v>
      </c>
      <c r="F12" s="4">
        <f>SUMIFS(Sheet3!$J:$J,Sheet3!$A:$A,$A12,Sheet3!$C:$C,F$1)</f>
        <v>0</v>
      </c>
    </row>
    <row r="13" spans="1:6">
      <c r="A13" s="1">
        <v>45429</v>
      </c>
      <c r="B13" t="s">
        <v>4</v>
      </c>
      <c r="C13" s="4">
        <f>SUMIFS(Sheet3!$J:$J,Sheet3!$A:$A,$A13,Sheet3!$C:$C,C$1)</f>
        <v>0</v>
      </c>
      <c r="D13" s="4">
        <f>SUMIFS(Sheet3!$J:$J,Sheet3!$A:$A,$A13,Sheet3!$C:$C,D$1)</f>
        <v>0</v>
      </c>
      <c r="E13" s="4">
        <f>SUMIFS(Sheet3!$J:$J,Sheet3!$A:$A,$A13,Sheet3!$C:$C,E$1)</f>
        <v>0</v>
      </c>
      <c r="F13" s="4">
        <f>SUMIFS(Sheet3!$J:$J,Sheet3!$A:$A,$A13,Sheet3!$C:$C,F$1)</f>
        <v>0</v>
      </c>
    </row>
    <row r="14" spans="1:6">
      <c r="A14" s="1">
        <v>45430</v>
      </c>
      <c r="B14" t="s">
        <v>5</v>
      </c>
      <c r="C14" s="4">
        <f>SUMIFS(Sheet3!$J:$J,Sheet3!$A:$A,$A14,Sheet3!$C:$C,C$1)</f>
        <v>0</v>
      </c>
      <c r="D14" s="4">
        <f>SUMIFS(Sheet3!$J:$J,Sheet3!$A:$A,$A14,Sheet3!$C:$C,D$1)</f>
        <v>0</v>
      </c>
      <c r="E14" s="4">
        <f>SUMIFS(Sheet3!$J:$J,Sheet3!$A:$A,$A14,Sheet3!$C:$C,E$1)</f>
        <v>0</v>
      </c>
      <c r="F14" s="4">
        <f>SUMIFS(Sheet3!$J:$J,Sheet3!$A:$A,$A14,Sheet3!$C:$C,F$1)</f>
        <v>0</v>
      </c>
    </row>
    <row r="15" spans="1:6">
      <c r="A15" s="1">
        <v>45431</v>
      </c>
      <c r="B15" t="s">
        <v>6</v>
      </c>
      <c r="C15" s="4">
        <f>SUMIFS(Sheet3!$J:$J,Sheet3!$A:$A,$A15,Sheet3!$C:$C,C$1)</f>
        <v>0</v>
      </c>
      <c r="D15" s="4">
        <f>SUMIFS(Sheet3!$J:$J,Sheet3!$A:$A,$A15,Sheet3!$C:$C,D$1)</f>
        <v>0</v>
      </c>
      <c r="E15" s="4">
        <f>SUMIFS(Sheet3!$J:$J,Sheet3!$A:$A,$A15,Sheet3!$C:$C,E$1)</f>
        <v>0</v>
      </c>
      <c r="F15" s="4">
        <f>SUMIFS(Sheet3!$J:$J,Sheet3!$A:$A,$A15,Sheet3!$C:$C,F$1)</f>
        <v>0</v>
      </c>
    </row>
    <row r="16" spans="1:6">
      <c r="A16" s="1">
        <v>45432</v>
      </c>
      <c r="B16" t="s">
        <v>7</v>
      </c>
      <c r="C16" s="4">
        <f>SUMIFS(Sheet3!$J:$J,Sheet3!$A:$A,$A16,Sheet3!$C:$C,C$1)</f>
        <v>0</v>
      </c>
      <c r="D16" s="4">
        <f>SUMIFS(Sheet3!$J:$J,Sheet3!$A:$A,$A16,Sheet3!$C:$C,D$1)</f>
        <v>0</v>
      </c>
      <c r="E16" s="4">
        <f>SUMIFS(Sheet3!$J:$J,Sheet3!$A:$A,$A16,Sheet3!$C:$C,E$1)</f>
        <v>0</v>
      </c>
      <c r="F16" s="4">
        <f>SUMIFS(Sheet3!$J:$J,Sheet3!$A:$A,$A16,Sheet3!$C:$C,F$1)</f>
        <v>0</v>
      </c>
    </row>
    <row r="17" spans="1:6">
      <c r="A17" s="1">
        <v>45433</v>
      </c>
      <c r="B17" t="s">
        <v>0</v>
      </c>
      <c r="C17" s="4">
        <f>SUMIFS(Sheet3!$J:$J,Sheet3!$A:$A,$A17,Sheet3!$C:$C,C$1)</f>
        <v>0</v>
      </c>
      <c r="D17" s="4">
        <f>SUMIFS(Sheet3!$J:$J,Sheet3!$A:$A,$A17,Sheet3!$C:$C,D$1)</f>
        <v>0</v>
      </c>
      <c r="E17" s="4">
        <f>SUMIFS(Sheet3!$J:$J,Sheet3!$A:$A,$A17,Sheet3!$C:$C,E$1)</f>
        <v>0</v>
      </c>
      <c r="F17" s="4">
        <f>SUMIFS(Sheet3!$J:$J,Sheet3!$A:$A,$A17,Sheet3!$C:$C,F$1)</f>
        <v>0</v>
      </c>
    </row>
    <row r="18" spans="1:6">
      <c r="A18" s="1">
        <v>45434</v>
      </c>
      <c r="B18" t="s">
        <v>2</v>
      </c>
      <c r="C18" s="4">
        <f>SUMIFS(Sheet3!$J:$J,Sheet3!$A:$A,$A18,Sheet3!$C:$C,C$1)</f>
        <v>0</v>
      </c>
      <c r="D18" s="4">
        <f>SUMIFS(Sheet3!$J:$J,Sheet3!$A:$A,$A18,Sheet3!$C:$C,D$1)</f>
        <v>0</v>
      </c>
      <c r="E18" s="4">
        <f>SUMIFS(Sheet3!$J:$J,Sheet3!$A:$A,$A18,Sheet3!$C:$C,E$1)</f>
        <v>0</v>
      </c>
      <c r="F18" s="4">
        <f>SUMIFS(Sheet3!$J:$J,Sheet3!$A:$A,$A18,Sheet3!$C:$C,F$1)</f>
        <v>0</v>
      </c>
    </row>
    <row r="19" spans="1:6">
      <c r="A19" s="1">
        <v>45435</v>
      </c>
      <c r="B19" t="s">
        <v>3</v>
      </c>
      <c r="C19" s="4">
        <f>SUMIFS(Sheet3!$J:$J,Sheet3!$A:$A,$A19,Sheet3!$C:$C,C$1)</f>
        <v>0</v>
      </c>
      <c r="D19" s="4">
        <f>SUMIFS(Sheet3!$J:$J,Sheet3!$A:$A,$A19,Sheet3!$C:$C,D$1)</f>
        <v>0</v>
      </c>
      <c r="E19" s="4">
        <f>SUMIFS(Sheet3!$J:$J,Sheet3!$A:$A,$A19,Sheet3!$C:$C,E$1)</f>
        <v>0</v>
      </c>
      <c r="F19" s="4">
        <f>SUMIFS(Sheet3!$J:$J,Sheet3!$A:$A,$A19,Sheet3!$C:$C,F$1)</f>
        <v>0</v>
      </c>
    </row>
    <row r="20" spans="1:6">
      <c r="A20" s="1">
        <v>45436</v>
      </c>
      <c r="B20" t="s">
        <v>4</v>
      </c>
      <c r="C20" s="4">
        <f>SUMIFS(Sheet3!$J:$J,Sheet3!$A:$A,$A20,Sheet3!$C:$C,C$1)</f>
        <v>0</v>
      </c>
      <c r="D20" s="4">
        <f>SUMIFS(Sheet3!$J:$J,Sheet3!$A:$A,$A20,Sheet3!$C:$C,D$1)</f>
        <v>0</v>
      </c>
      <c r="E20" s="4">
        <f>SUMIFS(Sheet3!$J:$J,Sheet3!$A:$A,$A20,Sheet3!$C:$C,E$1)</f>
        <v>0</v>
      </c>
      <c r="F20" s="4">
        <f>SUMIFS(Sheet3!$J:$J,Sheet3!$A:$A,$A20,Sheet3!$C:$C,F$1)</f>
        <v>0</v>
      </c>
    </row>
    <row r="21" spans="1:6">
      <c r="A21" s="1">
        <v>45437</v>
      </c>
      <c r="B21" t="s">
        <v>5</v>
      </c>
      <c r="C21" s="4">
        <f>SUMIFS(Sheet3!$J:$J,Sheet3!$A:$A,$A21,Sheet3!$C:$C,C$1)</f>
        <v>0</v>
      </c>
      <c r="D21" s="4">
        <f>SUMIFS(Sheet3!$J:$J,Sheet3!$A:$A,$A21,Sheet3!$C:$C,D$1)</f>
        <v>0</v>
      </c>
      <c r="E21" s="4">
        <f>SUMIFS(Sheet3!$J:$J,Sheet3!$A:$A,$A21,Sheet3!$C:$C,E$1)</f>
        <v>0</v>
      </c>
      <c r="F21" s="4">
        <f>SUMIFS(Sheet3!$J:$J,Sheet3!$A:$A,$A21,Sheet3!$C:$C,F$1)</f>
        <v>0</v>
      </c>
    </row>
    <row r="22" spans="1:6">
      <c r="A22" s="1">
        <v>45438</v>
      </c>
      <c r="B22" t="s">
        <v>6</v>
      </c>
      <c r="C22" s="4">
        <f>SUMIFS(Sheet3!$J:$J,Sheet3!$A:$A,$A22,Sheet3!$C:$C,C$1)</f>
        <v>0</v>
      </c>
      <c r="D22" s="4">
        <f>SUMIFS(Sheet3!$J:$J,Sheet3!$A:$A,$A22,Sheet3!$C:$C,D$1)</f>
        <v>0</v>
      </c>
      <c r="E22" s="4">
        <f>SUMIFS(Sheet3!$J:$J,Sheet3!$A:$A,$A22,Sheet3!$C:$C,E$1)</f>
        <v>0</v>
      </c>
      <c r="F22" s="4">
        <f>SUMIFS(Sheet3!$J:$J,Sheet3!$A:$A,$A22,Sheet3!$C:$C,F$1)</f>
        <v>0</v>
      </c>
    </row>
    <row r="23" spans="1:6">
      <c r="A23" s="1">
        <v>45439</v>
      </c>
      <c r="B23" t="s">
        <v>7</v>
      </c>
      <c r="C23" s="4">
        <f>SUMIFS(Sheet3!$J:$J,Sheet3!$A:$A,$A23,Sheet3!$C:$C,C$1)</f>
        <v>0</v>
      </c>
      <c r="D23" s="4">
        <f>SUMIFS(Sheet3!$J:$J,Sheet3!$A:$A,$A23,Sheet3!$C:$C,D$1)</f>
        <v>0</v>
      </c>
      <c r="E23" s="4">
        <f>SUMIFS(Sheet3!$J:$J,Sheet3!$A:$A,$A23,Sheet3!$C:$C,E$1)</f>
        <v>0</v>
      </c>
      <c r="F23" s="4">
        <f>SUMIFS(Sheet3!$J:$J,Sheet3!$A:$A,$A23,Sheet3!$C:$C,F$1)</f>
        <v>0</v>
      </c>
    </row>
    <row r="24" spans="1:6">
      <c r="A24" s="1">
        <v>45440</v>
      </c>
      <c r="B24" t="s">
        <v>0</v>
      </c>
      <c r="C24" s="4">
        <f>SUMIFS(Sheet3!$J:$J,Sheet3!$A:$A,$A24,Sheet3!$C:$C,C$1)</f>
        <v>0</v>
      </c>
      <c r="D24" s="4">
        <f>SUMIFS(Sheet3!$J:$J,Sheet3!$A:$A,$A24,Sheet3!$C:$C,D$1)</f>
        <v>0</v>
      </c>
      <c r="E24" s="4">
        <f>SUMIFS(Sheet3!$J:$J,Sheet3!$A:$A,$A24,Sheet3!$C:$C,E$1)</f>
        <v>0</v>
      </c>
      <c r="F24" s="4">
        <f>SUMIFS(Sheet3!$J:$J,Sheet3!$A:$A,$A24,Sheet3!$C:$C,F$1)</f>
        <v>0</v>
      </c>
    </row>
    <row r="25" spans="1:6">
      <c r="A25" s="1">
        <v>45441</v>
      </c>
      <c r="B25" t="s">
        <v>2</v>
      </c>
      <c r="C25" s="4">
        <f>SUMIFS(Sheet3!$J:$J,Sheet3!$A:$A,$A25,Sheet3!$C:$C,C$1)</f>
        <v>0</v>
      </c>
      <c r="D25" s="4">
        <f>SUMIFS(Sheet3!$J:$J,Sheet3!$A:$A,$A25,Sheet3!$C:$C,D$1)</f>
        <v>0</v>
      </c>
      <c r="E25" s="4">
        <f>SUMIFS(Sheet3!$J:$J,Sheet3!$A:$A,$A25,Sheet3!$C:$C,E$1)</f>
        <v>0</v>
      </c>
      <c r="F25" s="4">
        <f>SUMIFS(Sheet3!$J:$J,Sheet3!$A:$A,$A25,Sheet3!$C:$C,F$1)</f>
        <v>0</v>
      </c>
    </row>
    <row r="26" spans="1:6">
      <c r="A26" s="1">
        <v>45442</v>
      </c>
      <c r="B26" t="s">
        <v>3</v>
      </c>
      <c r="C26" s="4">
        <f>SUMIFS(Sheet3!$J:$J,Sheet3!$A:$A,$A26,Sheet3!$C:$C,C$1)</f>
        <v>0</v>
      </c>
      <c r="D26" s="4">
        <f>SUMIFS(Sheet3!$J:$J,Sheet3!$A:$A,$A26,Sheet3!$C:$C,D$1)</f>
        <v>0</v>
      </c>
      <c r="E26" s="4">
        <f>SUMIFS(Sheet3!$J:$J,Sheet3!$A:$A,$A26,Sheet3!$C:$C,E$1)</f>
        <v>0</v>
      </c>
      <c r="F26" s="4">
        <f>SUMIFS(Sheet3!$J:$J,Sheet3!$A:$A,$A26,Sheet3!$C:$C,F$1)</f>
        <v>0</v>
      </c>
    </row>
    <row r="27" spans="1:6">
      <c r="A27" s="1">
        <v>45443</v>
      </c>
      <c r="B27" t="s">
        <v>4</v>
      </c>
      <c r="C27" s="4">
        <f>SUMIFS(Sheet3!$J:$J,Sheet3!$A:$A,$A27,Sheet3!$C:$C,C$1)</f>
        <v>0</v>
      </c>
      <c r="D27" s="4">
        <f>SUMIFS(Sheet3!$J:$J,Sheet3!$A:$A,$A27,Sheet3!$C:$C,D$1)</f>
        <v>0</v>
      </c>
      <c r="E27" s="4">
        <f>SUMIFS(Sheet3!$J:$J,Sheet3!$A:$A,$A27,Sheet3!$C:$C,E$1)</f>
        <v>0</v>
      </c>
      <c r="F27" s="4">
        <f>SUMIFS(Sheet3!$J:$J,Sheet3!$A:$A,$A27,Sheet3!$C:$C,F$1)</f>
        <v>0</v>
      </c>
    </row>
    <row r="28" spans="1:6">
      <c r="A28" s="1">
        <v>45444</v>
      </c>
      <c r="B28" t="s">
        <v>5</v>
      </c>
      <c r="C28" s="4">
        <f>SUMIFS(Sheet3!$J:$J,Sheet3!$A:$A,$A28,Sheet3!$C:$C,C$1)</f>
        <v>0</v>
      </c>
      <c r="D28" s="4">
        <f>SUMIFS(Sheet3!$J:$J,Sheet3!$A:$A,$A28,Sheet3!$C:$C,D$1)</f>
        <v>0</v>
      </c>
      <c r="E28" s="4">
        <f>SUMIFS(Sheet3!$J:$J,Sheet3!$A:$A,$A28,Sheet3!$C:$C,E$1)</f>
        <v>0</v>
      </c>
      <c r="F28" s="4">
        <f>SUMIFS(Sheet3!$J:$J,Sheet3!$A:$A,$A28,Sheet3!$C:$C,F$1)</f>
        <v>0</v>
      </c>
    </row>
    <row r="29" spans="1:6">
      <c r="A29" s="1">
        <v>45445</v>
      </c>
      <c r="B29" t="s">
        <v>6</v>
      </c>
      <c r="C29" s="4">
        <f>SUMIFS(Sheet3!$J:$J,Sheet3!$A:$A,$A29,Sheet3!$C:$C,C$1)</f>
        <v>0</v>
      </c>
      <c r="D29" s="4">
        <f>SUMIFS(Sheet3!$J:$J,Sheet3!$A:$A,$A29,Sheet3!$C:$C,D$1)</f>
        <v>0</v>
      </c>
      <c r="E29" s="4">
        <f>SUMIFS(Sheet3!$J:$J,Sheet3!$A:$A,$A29,Sheet3!$C:$C,E$1)</f>
        <v>0</v>
      </c>
      <c r="F29" s="4">
        <f>SUMIFS(Sheet3!$J:$J,Sheet3!$A:$A,$A29,Sheet3!$C:$C,F$1)</f>
        <v>0</v>
      </c>
    </row>
    <row r="30" spans="1:6">
      <c r="A30" s="1">
        <v>45446</v>
      </c>
      <c r="B30" t="s">
        <v>7</v>
      </c>
      <c r="C30" s="4">
        <f>SUMIFS(Sheet3!$J:$J,Sheet3!$A:$A,$A30,Sheet3!$C:$C,C$1)</f>
        <v>0</v>
      </c>
      <c r="D30" s="4">
        <f>SUMIFS(Sheet3!$J:$J,Sheet3!$A:$A,$A30,Sheet3!$C:$C,D$1)</f>
        <v>0</v>
      </c>
      <c r="E30" s="4">
        <f>SUMIFS(Sheet3!$J:$J,Sheet3!$A:$A,$A30,Sheet3!$C:$C,E$1)</f>
        <v>0</v>
      </c>
      <c r="F30" s="4">
        <f>SUMIFS(Sheet3!$J:$J,Sheet3!$A:$A,$A30,Sheet3!$C:$C,F$1)</f>
        <v>0</v>
      </c>
    </row>
    <row r="31" spans="1:6">
      <c r="A31" s="1">
        <v>45447</v>
      </c>
      <c r="B31" t="s">
        <v>0</v>
      </c>
      <c r="C31" s="4">
        <f>SUMIFS(Sheet3!$J:$J,Sheet3!$A:$A,$A31,Sheet3!$C:$C,C$1)</f>
        <v>0</v>
      </c>
      <c r="D31" s="4">
        <f>SUMIFS(Sheet3!$J:$J,Sheet3!$A:$A,$A31,Sheet3!$C:$C,D$1)</f>
        <v>0</v>
      </c>
      <c r="E31" s="4">
        <f>SUMIFS(Sheet3!$J:$J,Sheet3!$A:$A,$A31,Sheet3!$C:$C,E$1)</f>
        <v>0</v>
      </c>
      <c r="F31" s="4">
        <f>SUMIFS(Sheet3!$J:$J,Sheet3!$A:$A,$A31,Sheet3!$C:$C,F$1)</f>
        <v>0</v>
      </c>
    </row>
    <row r="32" spans="1:6">
      <c r="A32" s="1">
        <v>45448</v>
      </c>
      <c r="B32" t="s">
        <v>2</v>
      </c>
      <c r="C32" s="4">
        <f>SUMIFS(Sheet3!$J:$J,Sheet3!$A:$A,$A32,Sheet3!$C:$C,C$1)</f>
        <v>0</v>
      </c>
      <c r="D32" s="4">
        <f>SUMIFS(Sheet3!$J:$J,Sheet3!$A:$A,$A32,Sheet3!$C:$C,D$1)</f>
        <v>0</v>
      </c>
      <c r="E32" s="4">
        <f>SUMIFS(Sheet3!$J:$J,Sheet3!$A:$A,$A32,Sheet3!$C:$C,E$1)</f>
        <v>0</v>
      </c>
      <c r="F32" s="4">
        <f>SUMIFS(Sheet3!$J:$J,Sheet3!$A:$A,$A32,Sheet3!$C:$C,F$1)</f>
        <v>0</v>
      </c>
    </row>
    <row r="33" spans="1:6">
      <c r="A33" s="1">
        <v>45449</v>
      </c>
      <c r="B33" t="s">
        <v>3</v>
      </c>
      <c r="C33" s="4">
        <f>SUMIFS(Sheet3!$J:$J,Sheet3!$A:$A,$A33,Sheet3!$C:$C,C$1)</f>
        <v>0</v>
      </c>
      <c r="D33" s="4">
        <f>SUMIFS(Sheet3!$J:$J,Sheet3!$A:$A,$A33,Sheet3!$C:$C,D$1)</f>
        <v>0</v>
      </c>
      <c r="E33" s="4">
        <f>SUMIFS(Sheet3!$J:$J,Sheet3!$A:$A,$A33,Sheet3!$C:$C,E$1)</f>
        <v>0</v>
      </c>
      <c r="F33" s="4">
        <f>SUMIFS(Sheet3!$J:$J,Sheet3!$A:$A,$A33,Sheet3!$C:$C,F$1)</f>
        <v>0</v>
      </c>
    </row>
    <row r="34" spans="1:6">
      <c r="A34" s="1">
        <v>45450</v>
      </c>
      <c r="B34" t="s">
        <v>4</v>
      </c>
      <c r="C34" s="4">
        <f>SUMIFS(Sheet3!$J:$J,Sheet3!$A:$A,$A34,Sheet3!$C:$C,C$1)</f>
        <v>0</v>
      </c>
      <c r="D34" s="4">
        <f>SUMIFS(Sheet3!$J:$J,Sheet3!$A:$A,$A34,Sheet3!$C:$C,D$1)</f>
        <v>0</v>
      </c>
      <c r="E34" s="4">
        <f>SUMIFS(Sheet3!$J:$J,Sheet3!$A:$A,$A34,Sheet3!$C:$C,E$1)</f>
        <v>0</v>
      </c>
      <c r="F34" s="4">
        <f>SUMIFS(Sheet3!$J:$J,Sheet3!$A:$A,$A34,Sheet3!$C:$C,F$1)</f>
        <v>0</v>
      </c>
    </row>
    <row r="35" spans="1:6">
      <c r="A35" s="1">
        <v>45451</v>
      </c>
      <c r="B35" t="s">
        <v>5</v>
      </c>
      <c r="C35" s="4">
        <f>SUMIFS(Sheet3!$J:$J,Sheet3!$A:$A,$A35,Sheet3!$C:$C,C$1)</f>
        <v>0</v>
      </c>
      <c r="D35" s="4">
        <f>SUMIFS(Sheet3!$J:$J,Sheet3!$A:$A,$A35,Sheet3!$C:$C,D$1)</f>
        <v>0</v>
      </c>
      <c r="E35" s="4">
        <f>SUMIFS(Sheet3!$J:$J,Sheet3!$A:$A,$A35,Sheet3!$C:$C,E$1)</f>
        <v>0</v>
      </c>
      <c r="F35" s="4">
        <f>SUMIFS(Sheet3!$J:$J,Sheet3!$A:$A,$A35,Sheet3!$C:$C,F$1)</f>
        <v>0</v>
      </c>
    </row>
    <row r="36" spans="1:6">
      <c r="A36" s="1">
        <v>45452</v>
      </c>
      <c r="B36" t="s">
        <v>6</v>
      </c>
      <c r="C36" s="4">
        <f>SUMIFS(Sheet3!$J:$J,Sheet3!$A:$A,$A36,Sheet3!$C:$C,C$1)</f>
        <v>0</v>
      </c>
      <c r="D36" s="4">
        <f>SUMIFS(Sheet3!$J:$J,Sheet3!$A:$A,$A36,Sheet3!$C:$C,D$1)</f>
        <v>0</v>
      </c>
      <c r="E36" s="4">
        <f>SUMIFS(Sheet3!$J:$J,Sheet3!$A:$A,$A36,Sheet3!$C:$C,E$1)</f>
        <v>0</v>
      </c>
      <c r="F36" s="4">
        <f>SUMIFS(Sheet3!$J:$J,Sheet3!$A:$A,$A36,Sheet3!$C:$C,F$1)</f>
        <v>0</v>
      </c>
    </row>
    <row r="37" spans="1:6">
      <c r="A37" s="1">
        <v>45453</v>
      </c>
      <c r="B37" t="s">
        <v>7</v>
      </c>
      <c r="C37" s="4">
        <f>SUMIFS(Sheet3!$J:$J,Sheet3!$A:$A,$A37,Sheet3!$C:$C,C$1)</f>
        <v>0</v>
      </c>
      <c r="D37" s="4">
        <f>SUMIFS(Sheet3!$J:$J,Sheet3!$A:$A,$A37,Sheet3!$C:$C,D$1)</f>
        <v>0</v>
      </c>
      <c r="E37" s="4">
        <f>SUMIFS(Sheet3!$J:$J,Sheet3!$A:$A,$A37,Sheet3!$C:$C,E$1)</f>
        <v>0</v>
      </c>
      <c r="F37" s="4">
        <f>SUMIFS(Sheet3!$J:$J,Sheet3!$A:$A,$A37,Sheet3!$C:$C,F$1)</f>
        <v>0</v>
      </c>
    </row>
    <row r="38" spans="1:6">
      <c r="A38" s="1">
        <v>45454</v>
      </c>
      <c r="B38" t="s">
        <v>0</v>
      </c>
      <c r="C38" s="4">
        <f>SUMIFS(Sheet3!$J:$J,Sheet3!$A:$A,$A38,Sheet3!$C:$C,C$1)</f>
        <v>0</v>
      </c>
      <c r="D38" s="4">
        <f>SUMIFS(Sheet3!$J:$J,Sheet3!$A:$A,$A38,Sheet3!$C:$C,D$1)</f>
        <v>0</v>
      </c>
      <c r="E38" s="4">
        <f>SUMIFS(Sheet3!$J:$J,Sheet3!$A:$A,$A38,Sheet3!$C:$C,E$1)</f>
        <v>0</v>
      </c>
      <c r="F38" s="4">
        <f>SUMIFS(Sheet3!$J:$J,Sheet3!$A:$A,$A38,Sheet3!$C:$C,F$1)</f>
        <v>0</v>
      </c>
    </row>
    <row r="39" spans="1:6">
      <c r="A39" s="1">
        <v>45455</v>
      </c>
      <c r="B39" t="s">
        <v>2</v>
      </c>
      <c r="C39" s="4">
        <f>SUMIFS(Sheet3!$J:$J,Sheet3!$A:$A,$A39,Sheet3!$C:$C,C$1)</f>
        <v>0</v>
      </c>
      <c r="D39" s="4">
        <f>SUMIFS(Sheet3!$J:$J,Sheet3!$A:$A,$A39,Sheet3!$C:$C,D$1)</f>
        <v>0</v>
      </c>
      <c r="E39" s="4">
        <f>SUMIFS(Sheet3!$J:$J,Sheet3!$A:$A,$A39,Sheet3!$C:$C,E$1)</f>
        <v>0</v>
      </c>
      <c r="F39" s="4">
        <f>SUMIFS(Sheet3!$J:$J,Sheet3!$A:$A,$A39,Sheet3!$C:$C,F$1)</f>
        <v>0</v>
      </c>
    </row>
    <row r="40" spans="1:6">
      <c r="A40" s="1">
        <v>45456</v>
      </c>
      <c r="B40" t="s">
        <v>3</v>
      </c>
      <c r="C40" s="4">
        <f>SUMIFS(Sheet3!$J:$J,Sheet3!$A:$A,$A40,Sheet3!$C:$C,C$1)</f>
        <v>0</v>
      </c>
      <c r="D40" s="4">
        <f>SUMIFS(Sheet3!$J:$J,Sheet3!$A:$A,$A40,Sheet3!$C:$C,D$1)</f>
        <v>0</v>
      </c>
      <c r="E40" s="4">
        <f>SUMIFS(Sheet3!$J:$J,Sheet3!$A:$A,$A40,Sheet3!$C:$C,E$1)</f>
        <v>0</v>
      </c>
      <c r="F40" s="4">
        <f>SUMIFS(Sheet3!$J:$J,Sheet3!$A:$A,$A40,Sheet3!$C:$C,F$1)</f>
        <v>0</v>
      </c>
    </row>
    <row r="41" spans="1:6">
      <c r="A41" s="1">
        <v>45457</v>
      </c>
      <c r="B41" t="s">
        <v>4</v>
      </c>
      <c r="C41" s="4">
        <f>SUMIFS(Sheet3!$J:$J,Sheet3!$A:$A,$A41,Sheet3!$C:$C,C$1)</f>
        <v>0</v>
      </c>
      <c r="D41" s="4">
        <f>SUMIFS(Sheet3!$J:$J,Sheet3!$A:$A,$A41,Sheet3!$C:$C,D$1)</f>
        <v>0</v>
      </c>
      <c r="E41" s="4">
        <f>SUMIFS(Sheet3!$J:$J,Sheet3!$A:$A,$A41,Sheet3!$C:$C,E$1)</f>
        <v>0</v>
      </c>
      <c r="F41" s="4">
        <f>SUMIFS(Sheet3!$J:$J,Sheet3!$A:$A,$A41,Sheet3!$C:$C,F$1)</f>
        <v>0</v>
      </c>
    </row>
    <row r="42" spans="1:6">
      <c r="A42" s="1">
        <v>45458</v>
      </c>
      <c r="B42" t="s">
        <v>5</v>
      </c>
      <c r="C42" s="4">
        <f>SUMIFS(Sheet3!$J:$J,Sheet3!$A:$A,$A42,Sheet3!$C:$C,C$1)</f>
        <v>0</v>
      </c>
      <c r="D42" s="4">
        <f>SUMIFS(Sheet3!$J:$J,Sheet3!$A:$A,$A42,Sheet3!$C:$C,D$1)</f>
        <v>0</v>
      </c>
      <c r="E42" s="4">
        <f>SUMIFS(Sheet3!$J:$J,Sheet3!$A:$A,$A42,Sheet3!$C:$C,E$1)</f>
        <v>0</v>
      </c>
      <c r="F42" s="4">
        <f>SUMIFS(Sheet3!$J:$J,Sheet3!$A:$A,$A42,Sheet3!$C:$C,F$1)</f>
        <v>0</v>
      </c>
    </row>
    <row r="43" spans="1:6">
      <c r="A43" s="1">
        <v>45459</v>
      </c>
      <c r="B43" t="s">
        <v>6</v>
      </c>
      <c r="C43" s="4">
        <f>SUMIFS(Sheet3!$J:$J,Sheet3!$A:$A,$A43,Sheet3!$C:$C,C$1)</f>
        <v>0</v>
      </c>
      <c r="D43" s="4">
        <f>SUMIFS(Sheet3!$J:$J,Sheet3!$A:$A,$A43,Sheet3!$C:$C,D$1)</f>
        <v>0</v>
      </c>
      <c r="E43" s="4">
        <f>SUMIFS(Sheet3!$J:$J,Sheet3!$A:$A,$A43,Sheet3!$C:$C,E$1)</f>
        <v>0</v>
      </c>
      <c r="F43" s="4">
        <f>SUMIFS(Sheet3!$J:$J,Sheet3!$A:$A,$A43,Sheet3!$C:$C,F$1)</f>
        <v>0</v>
      </c>
    </row>
    <row r="44" spans="1:6">
      <c r="A44" s="1">
        <v>45460</v>
      </c>
      <c r="B44" t="s">
        <v>7</v>
      </c>
      <c r="C44" s="4">
        <f>SUMIFS(Sheet3!$J:$J,Sheet3!$A:$A,$A44,Sheet3!$C:$C,C$1)</f>
        <v>0</v>
      </c>
      <c r="D44" s="4">
        <f>SUMIFS(Sheet3!$J:$J,Sheet3!$A:$A,$A44,Sheet3!$C:$C,D$1)</f>
        <v>0</v>
      </c>
      <c r="E44" s="4">
        <f>SUMIFS(Sheet3!$J:$J,Sheet3!$A:$A,$A44,Sheet3!$C:$C,E$1)</f>
        <v>0</v>
      </c>
      <c r="F44" s="4">
        <f>SUMIFS(Sheet3!$J:$J,Sheet3!$A:$A,$A44,Sheet3!$C:$C,F$1)</f>
        <v>0</v>
      </c>
    </row>
    <row r="45" spans="1:6">
      <c r="A45" s="1">
        <v>45461</v>
      </c>
      <c r="B45" t="s">
        <v>0</v>
      </c>
      <c r="C45" s="4">
        <f>SUMIFS(Sheet3!$J:$J,Sheet3!$A:$A,$A45,Sheet3!$C:$C,C$1)</f>
        <v>0</v>
      </c>
      <c r="D45" s="4">
        <f>SUMIFS(Sheet3!$J:$J,Sheet3!$A:$A,$A45,Sheet3!$C:$C,D$1)</f>
        <v>0</v>
      </c>
      <c r="E45" s="4">
        <f>SUMIFS(Sheet3!$J:$J,Sheet3!$A:$A,$A45,Sheet3!$C:$C,E$1)</f>
        <v>0</v>
      </c>
      <c r="F45" s="4">
        <f>SUMIFS(Sheet3!$J:$J,Sheet3!$A:$A,$A45,Sheet3!$C:$C,F$1)</f>
        <v>0</v>
      </c>
    </row>
    <row r="46" spans="1:6">
      <c r="A46" s="1">
        <v>45462</v>
      </c>
      <c r="B46" t="s">
        <v>2</v>
      </c>
      <c r="C46" s="4">
        <f>SUMIFS(Sheet3!$J:$J,Sheet3!$A:$A,$A46,Sheet3!$C:$C,C$1)</f>
        <v>0</v>
      </c>
      <c r="D46" s="4">
        <f>SUMIFS(Sheet3!$J:$J,Sheet3!$A:$A,$A46,Sheet3!$C:$C,D$1)</f>
        <v>0</v>
      </c>
      <c r="E46" s="4">
        <f>SUMIFS(Sheet3!$J:$J,Sheet3!$A:$A,$A46,Sheet3!$C:$C,E$1)</f>
        <v>0</v>
      </c>
      <c r="F46" s="4">
        <f>SUMIFS(Sheet3!$J:$J,Sheet3!$A:$A,$A46,Sheet3!$C:$C,F$1)</f>
        <v>0</v>
      </c>
    </row>
    <row r="47" spans="1:6">
      <c r="A47" s="1">
        <v>45463</v>
      </c>
      <c r="B47" t="s">
        <v>3</v>
      </c>
      <c r="C47" s="4">
        <f>SUMIFS(Sheet3!$J:$J,Sheet3!$A:$A,$A47,Sheet3!$C:$C,C$1)</f>
        <v>0</v>
      </c>
      <c r="D47" s="4">
        <f>SUMIFS(Sheet3!$J:$J,Sheet3!$A:$A,$A47,Sheet3!$C:$C,D$1)</f>
        <v>0</v>
      </c>
      <c r="E47" s="4">
        <f>SUMIFS(Sheet3!$J:$J,Sheet3!$A:$A,$A47,Sheet3!$C:$C,E$1)</f>
        <v>0</v>
      </c>
      <c r="F47" s="4">
        <f>SUMIFS(Sheet3!$J:$J,Sheet3!$A:$A,$A47,Sheet3!$C:$C,F$1)</f>
        <v>0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:J16"/>
  <sheetViews>
    <sheetView workbookViewId="0">
      <selection activeCell="A17" sqref="A17"/>
    </sheetView>
  </sheetViews>
  <sheetFormatPr defaultRowHeight="13.5"/>
  <cols>
    <col min="1" max="1" width="10.5" bestFit="1" customWidth="1"/>
    <col min="2" max="2" width="27.875" bestFit="1" customWidth="1"/>
    <col min="3" max="3" width="9" bestFit="1" customWidth="1"/>
    <col min="4" max="4" width="11.125" bestFit="1" customWidth="1"/>
    <col min="5" max="5" width="9" bestFit="1" customWidth="1"/>
  </cols>
  <sheetData>
    <row r="1" spans="1:10">
      <c r="A1" t="s">
        <v>48</v>
      </c>
      <c r="B1" t="s">
        <v>49</v>
      </c>
      <c r="C1" t="s">
        <v>51</v>
      </c>
      <c r="D1" t="s">
        <v>50</v>
      </c>
      <c r="E1" t="s">
        <v>54</v>
      </c>
      <c r="F1" t="s">
        <v>53</v>
      </c>
      <c r="G1" t="s">
        <v>55</v>
      </c>
      <c r="H1" t="s">
        <v>56</v>
      </c>
      <c r="I1" t="s">
        <v>52</v>
      </c>
      <c r="J1" t="s">
        <v>57</v>
      </c>
    </row>
    <row r="2" spans="1:10">
      <c r="A2" s="2">
        <v>45418</v>
      </c>
      <c r="B2" t="s">
        <v>34</v>
      </c>
      <c r="C2" t="s">
        <v>58</v>
      </c>
      <c r="D2" t="s">
        <v>39</v>
      </c>
      <c r="E2" s="3">
        <v>0.1</v>
      </c>
      <c r="F2" s="4">
        <f>FLOOR(J2/1.1,1)</f>
        <v>1300</v>
      </c>
      <c r="G2" s="4">
        <v>1</v>
      </c>
      <c r="H2" s="4">
        <f>F2*G2</f>
        <v>1300</v>
      </c>
      <c r="I2" s="4">
        <f>FLOOR(H2*E2,1)</f>
        <v>130</v>
      </c>
      <c r="J2" s="4">
        <v>1430</v>
      </c>
    </row>
    <row r="3" spans="1:10">
      <c r="A3" s="2">
        <v>45418</v>
      </c>
      <c r="B3" t="s">
        <v>35</v>
      </c>
      <c r="C3" t="s">
        <v>58</v>
      </c>
      <c r="D3" t="s">
        <v>38</v>
      </c>
      <c r="E3" s="3">
        <v>0.1</v>
      </c>
      <c r="F3" s="4">
        <f>FLOOR(J3/1.1,1)</f>
        <v>1400</v>
      </c>
      <c r="G3" s="4">
        <v>1</v>
      </c>
      <c r="H3" s="4">
        <f t="shared" ref="H3:H11" si="0">F3*G3</f>
        <v>1400</v>
      </c>
      <c r="I3" s="4">
        <f t="shared" ref="I3:I11" si="1">FLOOR(H3*E3,1)</f>
        <v>140</v>
      </c>
      <c r="J3" s="4">
        <v>1540</v>
      </c>
    </row>
    <row r="4" spans="1:10">
      <c r="A4" s="2">
        <v>45418</v>
      </c>
      <c r="B4" t="s">
        <v>37</v>
      </c>
      <c r="C4" t="s">
        <v>58</v>
      </c>
      <c r="D4" t="s">
        <v>36</v>
      </c>
      <c r="E4" s="3">
        <v>0.1</v>
      </c>
      <c r="F4" s="4">
        <f>FLOOR(J4/1.1,1)</f>
        <v>277</v>
      </c>
      <c r="G4" s="4">
        <v>1</v>
      </c>
      <c r="H4" s="4">
        <f t="shared" si="0"/>
        <v>277</v>
      </c>
      <c r="I4" s="4">
        <f t="shared" si="1"/>
        <v>27</v>
      </c>
      <c r="J4" s="4">
        <v>305</v>
      </c>
    </row>
    <row r="5" spans="1:10">
      <c r="A5" s="2">
        <v>45418</v>
      </c>
      <c r="B5" t="s">
        <v>40</v>
      </c>
      <c r="C5" t="s">
        <v>59</v>
      </c>
      <c r="D5" t="s">
        <v>41</v>
      </c>
      <c r="E5" s="3">
        <v>0.08</v>
      </c>
      <c r="F5" s="4">
        <v>128</v>
      </c>
      <c r="G5" s="4">
        <v>1</v>
      </c>
      <c r="H5" s="4">
        <f t="shared" si="0"/>
        <v>128</v>
      </c>
      <c r="I5" s="4">
        <f t="shared" si="1"/>
        <v>10</v>
      </c>
      <c r="J5" s="4">
        <f>H5+I5</f>
        <v>138</v>
      </c>
    </row>
    <row r="6" spans="1:10">
      <c r="A6" s="2">
        <v>45418</v>
      </c>
      <c r="B6" t="s">
        <v>42</v>
      </c>
      <c r="C6" t="s">
        <v>47</v>
      </c>
      <c r="D6" t="s">
        <v>44</v>
      </c>
      <c r="E6" s="3">
        <v>0.08</v>
      </c>
      <c r="F6" s="4">
        <v>221</v>
      </c>
      <c r="G6" s="4">
        <v>1</v>
      </c>
      <c r="H6" s="4">
        <f t="shared" si="0"/>
        <v>221</v>
      </c>
      <c r="I6" s="4">
        <f t="shared" si="1"/>
        <v>17</v>
      </c>
      <c r="J6" s="4">
        <f>H6+I6</f>
        <v>238</v>
      </c>
    </row>
    <row r="7" spans="1:10">
      <c r="A7" s="2">
        <v>45419</v>
      </c>
      <c r="B7" t="s">
        <v>43</v>
      </c>
      <c r="C7" t="s">
        <v>47</v>
      </c>
      <c r="D7" t="s">
        <v>44</v>
      </c>
      <c r="E7" s="3">
        <v>0.08</v>
      </c>
      <c r="F7" s="4">
        <v>278</v>
      </c>
      <c r="G7" s="4">
        <v>1</v>
      </c>
      <c r="H7" s="4">
        <f t="shared" si="0"/>
        <v>278</v>
      </c>
      <c r="I7" s="4">
        <f t="shared" si="1"/>
        <v>22</v>
      </c>
      <c r="J7" s="4">
        <f>H7+I7</f>
        <v>300</v>
      </c>
    </row>
    <row r="8" spans="1:10">
      <c r="A8" s="2">
        <v>45419</v>
      </c>
      <c r="B8" t="s">
        <v>45</v>
      </c>
      <c r="C8" t="s">
        <v>23</v>
      </c>
      <c r="D8" t="s">
        <v>60</v>
      </c>
      <c r="E8" s="3">
        <v>0.1</v>
      </c>
      <c r="F8" s="4">
        <v>208</v>
      </c>
      <c r="G8" s="4">
        <v>1</v>
      </c>
      <c r="H8" s="4">
        <f t="shared" si="0"/>
        <v>208</v>
      </c>
      <c r="I8" s="4">
        <f t="shared" si="1"/>
        <v>20</v>
      </c>
      <c r="J8" s="4">
        <f>H8+I8</f>
        <v>228</v>
      </c>
    </row>
    <row r="9" spans="1:10">
      <c r="A9" s="2">
        <v>45419</v>
      </c>
      <c r="B9" t="s">
        <v>46</v>
      </c>
      <c r="C9" t="s">
        <v>47</v>
      </c>
      <c r="D9" t="s">
        <v>47</v>
      </c>
      <c r="E9" s="3">
        <v>0.08</v>
      </c>
      <c r="F9" s="4">
        <v>490</v>
      </c>
      <c r="G9" s="4">
        <v>1</v>
      </c>
      <c r="H9" s="4">
        <f t="shared" si="0"/>
        <v>490</v>
      </c>
      <c r="I9" s="4">
        <f t="shared" si="1"/>
        <v>39</v>
      </c>
      <c r="J9" s="4">
        <f>H9+I9</f>
        <v>529</v>
      </c>
    </row>
    <row r="10" spans="1:10">
      <c r="A10" s="2">
        <v>45426</v>
      </c>
      <c r="B10" t="s">
        <v>62</v>
      </c>
      <c r="C10" t="s">
        <v>63</v>
      </c>
      <c r="D10" t="s">
        <v>64</v>
      </c>
      <c r="E10" s="3">
        <v>0.1</v>
      </c>
      <c r="F10" s="4">
        <f t="shared" ref="F10:F11" si="2">FLOOR(J10/1.1,1)</f>
        <v>3281</v>
      </c>
      <c r="G10" s="4">
        <v>1</v>
      </c>
      <c r="H10" s="4">
        <f t="shared" si="0"/>
        <v>3281</v>
      </c>
      <c r="I10" s="4">
        <f t="shared" si="1"/>
        <v>328</v>
      </c>
      <c r="J10" s="4">
        <v>3610</v>
      </c>
    </row>
    <row r="11" spans="1:10">
      <c r="A11" s="2">
        <v>45426</v>
      </c>
      <c r="B11" t="s">
        <v>62</v>
      </c>
      <c r="C11" t="s">
        <v>63</v>
      </c>
      <c r="D11" t="s">
        <v>64</v>
      </c>
      <c r="E11" s="3">
        <v>0.1</v>
      </c>
      <c r="F11" s="4">
        <f t="shared" si="2"/>
        <v>336</v>
      </c>
      <c r="G11" s="4">
        <v>1</v>
      </c>
      <c r="H11" s="4">
        <f t="shared" si="0"/>
        <v>336</v>
      </c>
      <c r="I11" s="4">
        <f t="shared" si="1"/>
        <v>33</v>
      </c>
      <c r="J11" s="4">
        <v>370</v>
      </c>
    </row>
    <row r="12" spans="1:10">
      <c r="A12" s="2">
        <v>45422</v>
      </c>
      <c r="B12" t="s">
        <v>65</v>
      </c>
      <c r="C12" t="s">
        <v>66</v>
      </c>
      <c r="D12" t="s">
        <v>66</v>
      </c>
      <c r="E12" s="3">
        <v>0</v>
      </c>
      <c r="F12" s="4">
        <v>5200</v>
      </c>
      <c r="G12" s="4">
        <v>1</v>
      </c>
      <c r="H12" s="4">
        <f t="shared" ref="H12:H15" si="3">F12*G12</f>
        <v>5200</v>
      </c>
      <c r="I12" s="4">
        <f t="shared" ref="I12:I15" si="4">FLOOR(H12*E12,1)</f>
        <v>0</v>
      </c>
      <c r="J12" s="4">
        <f>H12+I12</f>
        <v>5200</v>
      </c>
    </row>
    <row r="13" spans="1:10">
      <c r="A13" s="2">
        <v>45422</v>
      </c>
      <c r="B13" t="s">
        <v>67</v>
      </c>
      <c r="C13" t="s">
        <v>68</v>
      </c>
      <c r="D13" t="s">
        <v>68</v>
      </c>
      <c r="E13" s="3">
        <v>0</v>
      </c>
      <c r="F13" s="4">
        <v>420</v>
      </c>
      <c r="G13" s="4">
        <v>1</v>
      </c>
      <c r="H13" s="4">
        <f t="shared" si="3"/>
        <v>420</v>
      </c>
      <c r="I13" s="4">
        <f t="shared" si="4"/>
        <v>0</v>
      </c>
      <c r="J13" s="4">
        <f>H13+I13</f>
        <v>420</v>
      </c>
    </row>
    <row r="14" spans="1:10">
      <c r="A14" s="2">
        <v>45422</v>
      </c>
      <c r="B14" t="s">
        <v>69</v>
      </c>
      <c r="C14" t="s">
        <v>61</v>
      </c>
      <c r="D14" t="s">
        <v>70</v>
      </c>
      <c r="E14" s="3">
        <v>0</v>
      </c>
      <c r="F14" s="4">
        <v>1190</v>
      </c>
      <c r="G14" s="4">
        <v>1</v>
      </c>
      <c r="H14" s="4">
        <f t="shared" si="3"/>
        <v>1190</v>
      </c>
      <c r="I14" s="4">
        <f t="shared" si="4"/>
        <v>0</v>
      </c>
      <c r="J14" s="4">
        <f>H14+I14</f>
        <v>1190</v>
      </c>
    </row>
    <row r="15" spans="1:10">
      <c r="A15" s="2">
        <v>45425</v>
      </c>
      <c r="B15" t="s">
        <v>71</v>
      </c>
      <c r="C15" t="s">
        <v>63</v>
      </c>
      <c r="D15" t="s">
        <v>63</v>
      </c>
      <c r="E15" s="3">
        <v>0</v>
      </c>
      <c r="F15" s="4">
        <v>10560</v>
      </c>
      <c r="G15" s="4">
        <v>1</v>
      </c>
      <c r="H15" s="4">
        <f t="shared" si="3"/>
        <v>10560</v>
      </c>
      <c r="I15" s="4">
        <f t="shared" si="4"/>
        <v>0</v>
      </c>
      <c r="J15" s="4">
        <f>H15+I15</f>
        <v>10560</v>
      </c>
    </row>
    <row r="16" spans="1:10">
      <c r="A16" s="2">
        <v>45426</v>
      </c>
      <c r="B16" t="s">
        <v>71</v>
      </c>
      <c r="C16" t="s">
        <v>63</v>
      </c>
      <c r="D16" t="s">
        <v>63</v>
      </c>
      <c r="E16" s="3">
        <v>0</v>
      </c>
      <c r="F16" s="4">
        <v>10560</v>
      </c>
      <c r="G16" s="4">
        <v>1</v>
      </c>
      <c r="H16" s="4">
        <f t="shared" ref="H16" si="5">F16*G16</f>
        <v>10560</v>
      </c>
      <c r="I16" s="4">
        <f t="shared" ref="I16" si="6">FLOOR(H16*E16,1)</f>
        <v>0</v>
      </c>
      <c r="J16" s="4">
        <f>H16+I16</f>
        <v>10560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>
      <selection activeCell="L3" sqref="L3"/>
    </sheetView>
  </sheetViews>
  <sheetFormatPr defaultRowHeight="13.5"/>
  <cols>
    <col min="1" max="1" width="9.5" bestFit="1" customWidth="1"/>
  </cols>
  <sheetData>
    <row r="1" spans="1:15">
      <c r="B1" s="4">
        <v>10000</v>
      </c>
      <c r="C1" s="4">
        <v>5000</v>
      </c>
      <c r="D1" s="4">
        <v>1000</v>
      </c>
      <c r="E1" s="4">
        <v>500</v>
      </c>
      <c r="F1" s="4">
        <v>100</v>
      </c>
      <c r="G1" s="4">
        <v>50</v>
      </c>
      <c r="H1" s="4">
        <v>10</v>
      </c>
      <c r="I1" s="4">
        <v>5</v>
      </c>
      <c r="J1" s="4">
        <v>1</v>
      </c>
      <c r="L1" t="s">
        <v>72</v>
      </c>
      <c r="M1" t="s">
        <v>73</v>
      </c>
      <c r="N1" t="s">
        <v>74</v>
      </c>
      <c r="O1" t="s">
        <v>75</v>
      </c>
    </row>
    <row r="2" spans="1:15">
      <c r="A2" s="2">
        <v>46029</v>
      </c>
      <c r="B2" s="4">
        <v>17</v>
      </c>
      <c r="C2" s="4">
        <v>1</v>
      </c>
      <c r="D2" s="4">
        <v>6</v>
      </c>
      <c r="E2" s="4">
        <v>1</v>
      </c>
      <c r="F2" s="4">
        <v>9</v>
      </c>
      <c r="G2" s="4">
        <v>2</v>
      </c>
      <c r="H2" s="4">
        <v>3</v>
      </c>
      <c r="I2" s="4">
        <v>8</v>
      </c>
      <c r="J2" s="4">
        <v>5</v>
      </c>
      <c r="K2" s="4">
        <f>SUM(B2*$B$1+C2*$C$1+D2*$D$1+E2*$E$1+F2*$F$1+G2*$G$1+H2*$H$1+I2*$I$1+J2*$J$1)</f>
        <v>182575</v>
      </c>
      <c r="L2" s="4">
        <v>103924</v>
      </c>
      <c r="M2" s="4">
        <v>592</v>
      </c>
      <c r="N2" s="4">
        <v>938</v>
      </c>
      <c r="O2" s="4">
        <v>920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畑裕介</dc:creator>
  <cp:lastModifiedBy>畑裕介</cp:lastModifiedBy>
  <dcterms:created xsi:type="dcterms:W3CDTF">2024-01-24T07:06:26Z</dcterms:created>
  <dcterms:modified xsi:type="dcterms:W3CDTF">2026-01-07T06:54:30Z</dcterms:modified>
</cp:coreProperties>
</file>